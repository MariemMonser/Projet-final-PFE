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14-Amélioration Continue\Amélioration_Continue_2025\Batiment_Infrastructure_2025\Fer a souder\"/>
    </mc:Choice>
  </mc:AlternateContent>
  <xr:revisionPtr revIDLastSave="0" documentId="13_ncr:1_{36AB76A7-00FB-49F4-8EE9-B698C3253677}" xr6:coauthVersionLast="47" xr6:coauthVersionMax="47" xr10:uidLastSave="{00000000-0000-0000-0000-000000000000}"/>
  <bookViews>
    <workbookView xWindow="-120" yWindow="-120" windowWidth="20730" windowHeight="11160" xr2:uid="{53389FBF-96C3-4C2E-8D0C-6A699EDE4A0D}"/>
  </bookViews>
  <sheets>
    <sheet name="identi" sheetId="1" r:id="rId1"/>
  </sheets>
  <definedNames>
    <definedName name="_xlnm._FilterDatabase" localSheetId="0" hidden="1">identi!$A$6:$Y$68</definedName>
    <definedName name="_xlnm.Print_Area" localSheetId="0">identi!$A$1:$Y$74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1" l="1"/>
  <c r="K63" i="1"/>
  <c r="K12" i="1"/>
  <c r="N58" i="1"/>
  <c r="K58" i="1"/>
  <c r="K66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N68" i="1"/>
  <c r="N67" i="1"/>
  <c r="N66" i="1"/>
  <c r="N65" i="1"/>
  <c r="N64" i="1"/>
  <c r="N63" i="1"/>
  <c r="N62" i="1"/>
  <c r="N61" i="1"/>
  <c r="N60" i="1"/>
  <c r="N59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K57" i="1"/>
  <c r="K59" i="1"/>
  <c r="K60" i="1"/>
  <c r="K61" i="1"/>
  <c r="K62" i="1"/>
  <c r="K64" i="1"/>
  <c r="K65" i="1"/>
  <c r="K67" i="1"/>
  <c r="K68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36" i="1"/>
  <c r="K37" i="1"/>
  <c r="K38" i="1"/>
  <c r="K39" i="1"/>
  <c r="K40" i="1"/>
  <c r="K41" i="1"/>
  <c r="K42" i="1"/>
  <c r="K43" i="1"/>
  <c r="K27" i="1"/>
  <c r="K28" i="1"/>
  <c r="K30" i="1"/>
  <c r="K31" i="1"/>
  <c r="K32" i="1"/>
  <c r="K33" i="1"/>
  <c r="K34" i="1"/>
  <c r="K35" i="1"/>
  <c r="K18" i="1"/>
  <c r="K19" i="1"/>
  <c r="K20" i="1"/>
  <c r="K21" i="1"/>
  <c r="K22" i="1"/>
  <c r="K23" i="1"/>
  <c r="K24" i="1"/>
  <c r="K25" i="1"/>
  <c r="K26" i="1"/>
  <c r="K10" i="1"/>
  <c r="K11" i="1"/>
  <c r="K13" i="1"/>
  <c r="K14" i="1"/>
  <c r="K15" i="1"/>
  <c r="K16" i="1"/>
  <c r="K17" i="1"/>
  <c r="K8" i="1"/>
  <c r="K9" i="1"/>
  <c r="K7" i="1"/>
</calcChain>
</file>

<file path=xl/sharedStrings.xml><?xml version="1.0" encoding="utf-8"?>
<sst xmlns="http://schemas.openxmlformats.org/spreadsheetml/2006/main" count="284" uniqueCount="119">
  <si>
    <t>UAP</t>
  </si>
  <si>
    <t>Numéro 
de Serie</t>
  </si>
  <si>
    <t>UAP 1</t>
  </si>
  <si>
    <t>15436/189930</t>
  </si>
  <si>
    <t>15438/164014</t>
  </si>
  <si>
    <t>15436/172156</t>
  </si>
  <si>
    <t>UAP 2</t>
  </si>
  <si>
    <t>08836/122802</t>
  </si>
  <si>
    <t>1208/150377</t>
  </si>
  <si>
    <t>088 40/13 9221</t>
  </si>
  <si>
    <t>15424/223444</t>
  </si>
  <si>
    <t>15415/234811</t>
  </si>
  <si>
    <t>15449/162733</t>
  </si>
  <si>
    <t>154 34/21 6617</t>
  </si>
  <si>
    <t>15437/163893</t>
  </si>
  <si>
    <t>154 34/21 6607</t>
  </si>
  <si>
    <t>088839/123653</t>
  </si>
  <si>
    <t>15436/189802</t>
  </si>
  <si>
    <t>08836/121286</t>
  </si>
  <si>
    <t>15438/164017</t>
  </si>
  <si>
    <t>154 42/16 5515</t>
  </si>
  <si>
    <t>14125/167854</t>
  </si>
  <si>
    <t>XX2965828</t>
  </si>
  <si>
    <t>15631/191686</t>
  </si>
  <si>
    <t>11209/150458</t>
  </si>
  <si>
    <t>15430/188557</t>
  </si>
  <si>
    <t>06007/080684</t>
  </si>
  <si>
    <t>0053262698</t>
  </si>
  <si>
    <t>15403/210286</t>
  </si>
  <si>
    <t>UAP 3</t>
  </si>
  <si>
    <t>15434/216594</t>
  </si>
  <si>
    <t>15447/166655</t>
  </si>
  <si>
    <t>154 34/21 6624</t>
  </si>
  <si>
    <t>08844/148114</t>
  </si>
  <si>
    <t>15630/210888</t>
  </si>
  <si>
    <t>08823/128169</t>
  </si>
  <si>
    <t>15636/211968</t>
  </si>
  <si>
    <t>08839/123618</t>
  </si>
  <si>
    <t>15437/163903</t>
  </si>
  <si>
    <t>15433/171292</t>
  </si>
  <si>
    <t>15437/163896</t>
  </si>
  <si>
    <t>08805/117291</t>
  </si>
  <si>
    <t>15414/184556</t>
  </si>
  <si>
    <t>08823/128172</t>
  </si>
  <si>
    <t>06009/230112</t>
  </si>
  <si>
    <t>15442/165483</t>
  </si>
  <si>
    <t>15445/166171</t>
  </si>
  <si>
    <t>15415/234980</t>
  </si>
  <si>
    <t>15415/234790</t>
  </si>
  <si>
    <t>15447/2113969</t>
  </si>
  <si>
    <t>15413/223007</t>
  </si>
  <si>
    <t>UAP 4</t>
  </si>
  <si>
    <t>* 05951221009878</t>
  </si>
  <si>
    <t>15630/210973</t>
  </si>
  <si>
    <t>15434/216611</t>
  </si>
  <si>
    <t>11207/140209</t>
  </si>
  <si>
    <t>15415/234991</t>
  </si>
  <si>
    <t>15434/216608</t>
  </si>
  <si>
    <t>*05951222004049</t>
  </si>
  <si>
    <t>*05951222008161</t>
  </si>
  <si>
    <t>*05951221008906</t>
  </si>
  <si>
    <t>*05951221009879</t>
  </si>
  <si>
    <t>Fiche d'enregistrement des  suivi PRC0000587</t>
  </si>
  <si>
    <t xml:space="preserve">Date Changement </t>
  </si>
  <si>
    <t>Suivi par Technicien Batiment &amp; Infra</t>
  </si>
  <si>
    <t>Numéro 
Station</t>
  </si>
  <si>
    <t>statut</t>
  </si>
  <si>
    <t>OK</t>
  </si>
  <si>
    <t xml:space="preserve">Numéro 
</t>
  </si>
  <si>
    <t>Support</t>
  </si>
  <si>
    <t>08/11/2024</t>
  </si>
  <si>
    <t>dépannage</t>
  </si>
  <si>
    <t>Réserve</t>
  </si>
  <si>
    <t>finition</t>
  </si>
  <si>
    <t>Test gilbarco</t>
  </si>
  <si>
    <t>XDD</t>
  </si>
  <si>
    <t>CML4802</t>
  </si>
  <si>
    <t>A9</t>
  </si>
  <si>
    <t>TOYOTA</t>
  </si>
  <si>
    <t>X52 Square</t>
  </si>
  <si>
    <t>CML4633</t>
  </si>
  <si>
    <t>BATCH 3</t>
  </si>
  <si>
    <t>CML 3104</t>
  </si>
  <si>
    <t>Vague sélective</t>
  </si>
  <si>
    <t>TEST PCB</t>
  </si>
  <si>
    <t>Assemblage 1 ligne 1</t>
  </si>
  <si>
    <t>Assemblage 1 ligne 2</t>
  </si>
  <si>
    <t>Assemblage 2 ligne 1</t>
  </si>
  <si>
    <t>Assemblage 2 ligne 2</t>
  </si>
  <si>
    <t>Test PCB</t>
  </si>
  <si>
    <t>TEST PCBA</t>
  </si>
  <si>
    <t>COMPOSITE</t>
  </si>
  <si>
    <t>durée de vie(jours)</t>
  </si>
  <si>
    <t>Emplacement</t>
  </si>
  <si>
    <t>Station</t>
  </si>
  <si>
    <t>Bra</t>
  </si>
  <si>
    <t>Température</t>
  </si>
  <si>
    <t>valeur</t>
  </si>
  <si>
    <t>Remarque</t>
  </si>
  <si>
    <t>élément cassé a réparer</t>
  </si>
  <si>
    <t>poste 10</t>
  </si>
  <si>
    <t>poste 23</t>
  </si>
  <si>
    <t>poste 25</t>
  </si>
  <si>
    <t>poste 26</t>
  </si>
  <si>
    <t>poste 27</t>
  </si>
  <si>
    <t>poste 28</t>
  </si>
  <si>
    <t>poste 29</t>
  </si>
  <si>
    <t>poste 03</t>
  </si>
  <si>
    <t>poste 02</t>
  </si>
  <si>
    <t>poste 17</t>
  </si>
  <si>
    <t>poste 13</t>
  </si>
  <si>
    <t>reliquat</t>
  </si>
  <si>
    <t>poste 16</t>
  </si>
  <si>
    <t>rebut</t>
  </si>
  <si>
    <t>changement bra endommagé</t>
  </si>
  <si>
    <t>Remplacé par un élément chauffant robuste pour essai</t>
  </si>
  <si>
    <t>15434/216626</t>
  </si>
  <si>
    <t>ok</t>
  </si>
  <si>
    <t>08/04/2025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</si>
</sst>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name val="Arial"/>
    </font>
    <font>
      <b/>
      <sz val="10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i/>
      <sz val="2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5" fillId="2" borderId="0" xfId="0" applyFont="1" applyFill="1"/>
    <xf numFmtId="0" fontId="6" fillId="2" borderId="13" xfId="0" applyFont="1" applyFill="1" applyBorder="1" applyAlignment="1">
      <alignment horizontal="center"/>
    </xf>
    <xf numFmtId="0" fontId="6" fillId="2" borderId="13" xfId="0" applyFont="1" applyFill="1" applyBorder="1"/>
    <xf numFmtId="0" fontId="6" fillId="2" borderId="14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6" xfId="0" applyFont="1" applyFill="1" applyBorder="1"/>
    <xf numFmtId="0" fontId="6" fillId="2" borderId="18" xfId="0" applyFont="1" applyFill="1" applyBorder="1"/>
    <xf numFmtId="0" fontId="6" fillId="2" borderId="19" xfId="0" applyFont="1" applyFill="1" applyBorder="1"/>
    <xf numFmtId="0" fontId="6" fillId="2" borderId="1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3" fontId="6" fillId="2" borderId="16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/>
    <xf numFmtId="0" fontId="6" fillId="2" borderId="27" xfId="0" applyFont="1" applyFill="1" applyBorder="1" applyAlignment="1">
      <alignment horizontal="center"/>
    </xf>
    <xf numFmtId="3" fontId="6" fillId="2" borderId="29" xfId="0" applyNumberFormat="1" applyFont="1" applyFill="1" applyBorder="1" applyAlignment="1">
      <alignment horizontal="center" vertical="center"/>
    </xf>
    <xf numFmtId="3" fontId="6" fillId="2" borderId="30" xfId="0" applyNumberFormat="1" applyFont="1" applyFill="1" applyBorder="1" applyAlignment="1">
      <alignment horizontal="center" vertical="center"/>
    </xf>
    <xf numFmtId="3" fontId="6" fillId="2" borderId="31" xfId="0" applyNumberFormat="1" applyFont="1" applyFill="1" applyBorder="1" applyAlignment="1">
      <alignment horizontal="center" vertical="center"/>
    </xf>
    <xf numFmtId="49" fontId="6" fillId="2" borderId="30" xfId="0" applyNumberFormat="1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4" fontId="6" fillId="2" borderId="13" xfId="0" applyNumberFormat="1" applyFont="1" applyFill="1" applyBorder="1" applyAlignment="1">
      <alignment horizontal="center"/>
    </xf>
    <xf numFmtId="14" fontId="6" fillId="2" borderId="7" xfId="0" applyNumberFormat="1" applyFont="1" applyFill="1" applyBorder="1" applyAlignment="1">
      <alignment horizontal="center"/>
    </xf>
    <xf numFmtId="14" fontId="6" fillId="2" borderId="18" xfId="0" applyNumberFormat="1" applyFont="1" applyFill="1" applyBorder="1" applyAlignment="1">
      <alignment horizontal="center"/>
    </xf>
    <xf numFmtId="14" fontId="6" fillId="2" borderId="13" xfId="0" applyNumberFormat="1" applyFont="1" applyFill="1" applyBorder="1"/>
    <xf numFmtId="0" fontId="6" fillId="2" borderId="1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/>
    </xf>
    <xf numFmtId="14" fontId="6" fillId="2" borderId="1" xfId="0" applyNumberFormat="1" applyFont="1" applyFill="1" applyBorder="1"/>
    <xf numFmtId="14" fontId="6" fillId="3" borderId="1" xfId="0" applyNumberFormat="1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14" fontId="6" fillId="3" borderId="1" xfId="0" applyNumberFormat="1" applyFont="1" applyFill="1" applyBorder="1"/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2" borderId="39" xfId="0" applyFont="1" applyFill="1" applyBorder="1"/>
    <xf numFmtId="14" fontId="6" fillId="2" borderId="7" xfId="0" applyNumberFormat="1" applyFont="1" applyFill="1" applyBorder="1"/>
    <xf numFmtId="14" fontId="6" fillId="3" borderId="7" xfId="0" applyNumberFormat="1" applyFont="1" applyFill="1" applyBorder="1"/>
    <xf numFmtId="0" fontId="6" fillId="0" borderId="28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11" fontId="6" fillId="2" borderId="13" xfId="0" applyNumberFormat="1" applyFont="1" applyFill="1" applyBorder="1" applyAlignment="1">
      <alignment horizontal="center" vertical="center"/>
    </xf>
    <xf numFmtId="0" fontId="6" fillId="3" borderId="7" xfId="0" applyFont="1" applyFill="1" applyBorder="1"/>
    <xf numFmtId="14" fontId="6" fillId="4" borderId="1" xfId="0" applyNumberFormat="1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14" fontId="6" fillId="4" borderId="1" xfId="0" applyNumberFormat="1" applyFont="1" applyFill="1" applyBorder="1"/>
    <xf numFmtId="14" fontId="6" fillId="5" borderId="1" xfId="0" applyNumberFormat="1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14" fontId="6" fillId="5" borderId="1" xfId="0" applyNumberFormat="1" applyFont="1" applyFill="1" applyBorder="1"/>
    <xf numFmtId="0" fontId="5" fillId="2" borderId="7" xfId="0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/>
    </xf>
    <xf numFmtId="14" fontId="6" fillId="3" borderId="13" xfId="0" applyNumberFormat="1" applyFont="1" applyFill="1" applyBorder="1" applyAlignment="1">
      <alignment horizontal="center"/>
    </xf>
    <xf numFmtId="14" fontId="6" fillId="3" borderId="13" xfId="0" applyNumberFormat="1" applyFont="1" applyFill="1" applyBorder="1"/>
    <xf numFmtId="0" fontId="7" fillId="2" borderId="13" xfId="0" applyFont="1" applyFill="1" applyBorder="1" applyAlignment="1">
      <alignment wrapText="1"/>
    </xf>
    <xf numFmtId="0" fontId="6" fillId="6" borderId="13" xfId="0" applyFont="1" applyFill="1" applyBorder="1" applyAlignment="1">
      <alignment horizontal="center"/>
    </xf>
    <xf numFmtId="14" fontId="6" fillId="6" borderId="13" xfId="0" applyNumberFormat="1" applyFont="1" applyFill="1" applyBorder="1"/>
    <xf numFmtId="3" fontId="6" fillId="3" borderId="1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wrapText="1"/>
    </xf>
    <xf numFmtId="49" fontId="6" fillId="3" borderId="1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/>
    </xf>
    <xf numFmtId="0" fontId="3" fillId="2" borderId="21" xfId="0" applyFont="1" applyFill="1" applyBorder="1" applyAlignment="1">
      <alignment horizontal="center" vertical="center" textRotation="90"/>
    </xf>
    <xf numFmtId="0" fontId="3" fillId="2" borderId="22" xfId="0" applyFont="1" applyFill="1" applyBorder="1" applyAlignment="1">
      <alignment horizontal="center" vertical="center" textRotation="90"/>
    </xf>
    <xf numFmtId="0" fontId="3" fillId="2" borderId="36" xfId="0" applyFont="1" applyFill="1" applyBorder="1" applyAlignment="1">
      <alignment horizontal="center" vertical="center" textRotation="90"/>
    </xf>
    <xf numFmtId="0" fontId="3" fillId="2" borderId="12" xfId="0" applyFont="1" applyFill="1" applyBorder="1" applyAlignment="1">
      <alignment horizontal="center" vertical="center" textRotation="90" wrapText="1"/>
    </xf>
    <xf numFmtId="0" fontId="3" fillId="2" borderId="15" xfId="0" applyFont="1" applyFill="1" applyBorder="1" applyAlignment="1">
      <alignment horizontal="center" vertical="center" textRotation="90" wrapText="1"/>
    </xf>
    <xf numFmtId="0" fontId="3" fillId="2" borderId="17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3" borderId="13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DB7DAC-FA2F-427B-8A76-A45E77F32A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6550B.C5B7B3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98048</xdr:rowOff>
    </xdr:from>
    <xdr:to>
      <xdr:col>1</xdr:col>
      <xdr:colOff>1485900</xdr:colOff>
      <xdr:row>3</xdr:row>
      <xdr:rowOff>67798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98FC255-54DD-4E89-B416-6E22D87DE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8048"/>
          <a:ext cx="2085975" cy="52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BBAF-C0C3-4E9B-958B-1A066E956E5B}">
  <sheetPr>
    <pageSetUpPr fitToPage="1"/>
  </sheetPr>
  <dimension ref="A1:Y74"/>
  <sheetViews>
    <sheetView tabSelected="1" zoomScaleNormal="100" workbookViewId="0">
      <pane xSplit="3" ySplit="6" topLeftCell="D28" activePane="bottomRight" state="frozen"/>
      <selection pane="topRight" activeCell="D1" sqref="D1"/>
      <selection pane="bottomLeft" activeCell="A6" sqref="A6"/>
      <selection pane="bottomRight" activeCell="K34" sqref="K34"/>
    </sheetView>
  </sheetViews>
  <sheetFormatPr baseColWidth="10" defaultColWidth="9.140625" defaultRowHeight="12.75" x14ac:dyDescent="0.2"/>
  <cols>
    <col min="1" max="1" width="9.42578125" style="3" customWidth="1"/>
    <col min="2" max="2" width="23.140625" style="3" bestFit="1" customWidth="1"/>
    <col min="3" max="3" width="7.5703125" style="3" hidden="1" customWidth="1"/>
    <col min="4" max="4" width="22.28515625" style="3" bestFit="1" customWidth="1"/>
    <col min="5" max="5" width="10.7109375" bestFit="1" customWidth="1"/>
    <col min="6" max="6" width="8.7109375" bestFit="1" customWidth="1"/>
    <col min="7" max="7" width="10.7109375" bestFit="1" customWidth="1"/>
    <col min="8" max="8" width="8.7109375" bestFit="1" customWidth="1"/>
    <col min="9" max="9" width="11" customWidth="1"/>
    <col min="10" max="10" width="21.5703125" style="1" customWidth="1"/>
    <col min="11" max="11" width="14.85546875" style="1" bestFit="1" customWidth="1"/>
    <col min="12" max="13" width="21.5703125" style="1" customWidth="1"/>
    <col min="14" max="14" width="15.7109375" style="1" customWidth="1"/>
    <col min="15" max="15" width="21.5703125" style="1" customWidth="1"/>
    <col min="16" max="16" width="11.140625" style="1" customWidth="1"/>
    <col min="17" max="17" width="21.5703125" style="1" customWidth="1"/>
    <col min="18" max="18" width="11.140625" style="1" customWidth="1"/>
    <col min="19" max="19" width="21.5703125" style="1" customWidth="1"/>
    <col min="20" max="20" width="11.140625" style="1" customWidth="1"/>
    <col min="21" max="21" width="21.5703125" style="1" customWidth="1"/>
    <col min="22" max="22" width="11.140625" style="1" customWidth="1"/>
    <col min="23" max="23" width="21.5703125" style="1" customWidth="1"/>
    <col min="24" max="24" width="11.140625" style="1" customWidth="1"/>
    <col min="25" max="25" width="24.140625" bestFit="1" customWidth="1"/>
    <col min="270" max="270" width="1.7109375" customWidth="1"/>
    <col min="271" max="271" width="16" customWidth="1"/>
    <col min="272" max="272" width="8" customWidth="1"/>
    <col min="273" max="273" width="20.85546875" customWidth="1"/>
    <col min="274" max="274" width="16.85546875" customWidth="1"/>
    <col min="275" max="275" width="15.7109375" bestFit="1" customWidth="1"/>
    <col min="276" max="276" width="18.7109375" customWidth="1"/>
    <col min="277" max="277" width="14.5703125" customWidth="1"/>
    <col min="278" max="278" width="7.28515625" customWidth="1"/>
    <col min="279" max="279" width="0" hidden="1" customWidth="1"/>
    <col min="280" max="280" width="18.28515625" customWidth="1"/>
    <col min="281" max="281" width="0.28515625" customWidth="1"/>
    <col min="526" max="526" width="1.7109375" customWidth="1"/>
    <col min="527" max="527" width="16" customWidth="1"/>
    <col min="528" max="528" width="8" customWidth="1"/>
    <col min="529" max="529" width="20.85546875" customWidth="1"/>
    <col min="530" max="530" width="16.85546875" customWidth="1"/>
    <col min="531" max="531" width="15.7109375" bestFit="1" customWidth="1"/>
    <col min="532" max="532" width="18.7109375" customWidth="1"/>
    <col min="533" max="533" width="14.5703125" customWidth="1"/>
    <col min="534" max="534" width="7.28515625" customWidth="1"/>
    <col min="535" max="535" width="0" hidden="1" customWidth="1"/>
    <col min="536" max="536" width="18.28515625" customWidth="1"/>
    <col min="537" max="537" width="0.28515625" customWidth="1"/>
    <col min="782" max="782" width="1.7109375" customWidth="1"/>
    <col min="783" max="783" width="16" customWidth="1"/>
    <col min="784" max="784" width="8" customWidth="1"/>
    <col min="785" max="785" width="20.85546875" customWidth="1"/>
    <col min="786" max="786" width="16.85546875" customWidth="1"/>
    <col min="787" max="787" width="15.7109375" bestFit="1" customWidth="1"/>
    <col min="788" max="788" width="18.7109375" customWidth="1"/>
    <col min="789" max="789" width="14.5703125" customWidth="1"/>
    <col min="790" max="790" width="7.28515625" customWidth="1"/>
    <col min="791" max="791" width="0" hidden="1" customWidth="1"/>
    <col min="792" max="792" width="18.28515625" customWidth="1"/>
    <col min="793" max="793" width="0.28515625" customWidth="1"/>
    <col min="1038" max="1038" width="1.7109375" customWidth="1"/>
    <col min="1039" max="1039" width="16" customWidth="1"/>
    <col min="1040" max="1040" width="8" customWidth="1"/>
    <col min="1041" max="1041" width="20.85546875" customWidth="1"/>
    <col min="1042" max="1042" width="16.85546875" customWidth="1"/>
    <col min="1043" max="1043" width="15.7109375" bestFit="1" customWidth="1"/>
    <col min="1044" max="1044" width="18.7109375" customWidth="1"/>
    <col min="1045" max="1045" width="14.5703125" customWidth="1"/>
    <col min="1046" max="1046" width="7.28515625" customWidth="1"/>
    <col min="1047" max="1047" width="0" hidden="1" customWidth="1"/>
    <col min="1048" max="1048" width="18.28515625" customWidth="1"/>
    <col min="1049" max="1049" width="0.28515625" customWidth="1"/>
    <col min="1294" max="1294" width="1.7109375" customWidth="1"/>
    <col min="1295" max="1295" width="16" customWidth="1"/>
    <col min="1296" max="1296" width="8" customWidth="1"/>
    <col min="1297" max="1297" width="20.85546875" customWidth="1"/>
    <col min="1298" max="1298" width="16.85546875" customWidth="1"/>
    <col min="1299" max="1299" width="15.7109375" bestFit="1" customWidth="1"/>
    <col min="1300" max="1300" width="18.7109375" customWidth="1"/>
    <col min="1301" max="1301" width="14.5703125" customWidth="1"/>
    <col min="1302" max="1302" width="7.28515625" customWidth="1"/>
    <col min="1303" max="1303" width="0" hidden="1" customWidth="1"/>
    <col min="1304" max="1304" width="18.28515625" customWidth="1"/>
    <col min="1305" max="1305" width="0.28515625" customWidth="1"/>
    <col min="1550" max="1550" width="1.7109375" customWidth="1"/>
    <col min="1551" max="1551" width="16" customWidth="1"/>
    <col min="1552" max="1552" width="8" customWidth="1"/>
    <col min="1553" max="1553" width="20.85546875" customWidth="1"/>
    <col min="1554" max="1554" width="16.85546875" customWidth="1"/>
    <col min="1555" max="1555" width="15.7109375" bestFit="1" customWidth="1"/>
    <col min="1556" max="1556" width="18.7109375" customWidth="1"/>
    <col min="1557" max="1557" width="14.5703125" customWidth="1"/>
    <col min="1558" max="1558" width="7.28515625" customWidth="1"/>
    <col min="1559" max="1559" width="0" hidden="1" customWidth="1"/>
    <col min="1560" max="1560" width="18.28515625" customWidth="1"/>
    <col min="1561" max="1561" width="0.28515625" customWidth="1"/>
    <col min="1806" max="1806" width="1.7109375" customWidth="1"/>
    <col min="1807" max="1807" width="16" customWidth="1"/>
    <col min="1808" max="1808" width="8" customWidth="1"/>
    <col min="1809" max="1809" width="20.85546875" customWidth="1"/>
    <col min="1810" max="1810" width="16.85546875" customWidth="1"/>
    <col min="1811" max="1811" width="15.7109375" bestFit="1" customWidth="1"/>
    <col min="1812" max="1812" width="18.7109375" customWidth="1"/>
    <col min="1813" max="1813" width="14.5703125" customWidth="1"/>
    <col min="1814" max="1814" width="7.28515625" customWidth="1"/>
    <col min="1815" max="1815" width="0" hidden="1" customWidth="1"/>
    <col min="1816" max="1816" width="18.28515625" customWidth="1"/>
    <col min="1817" max="1817" width="0.28515625" customWidth="1"/>
    <col min="2062" max="2062" width="1.7109375" customWidth="1"/>
    <col min="2063" max="2063" width="16" customWidth="1"/>
    <col min="2064" max="2064" width="8" customWidth="1"/>
    <col min="2065" max="2065" width="20.85546875" customWidth="1"/>
    <col min="2066" max="2066" width="16.85546875" customWidth="1"/>
    <col min="2067" max="2067" width="15.7109375" bestFit="1" customWidth="1"/>
    <col min="2068" max="2068" width="18.7109375" customWidth="1"/>
    <col min="2069" max="2069" width="14.5703125" customWidth="1"/>
    <col min="2070" max="2070" width="7.28515625" customWidth="1"/>
    <col min="2071" max="2071" width="0" hidden="1" customWidth="1"/>
    <col min="2072" max="2072" width="18.28515625" customWidth="1"/>
    <col min="2073" max="2073" width="0.28515625" customWidth="1"/>
    <col min="2318" max="2318" width="1.7109375" customWidth="1"/>
    <col min="2319" max="2319" width="16" customWidth="1"/>
    <col min="2320" max="2320" width="8" customWidth="1"/>
    <col min="2321" max="2321" width="20.85546875" customWidth="1"/>
    <col min="2322" max="2322" width="16.85546875" customWidth="1"/>
    <col min="2323" max="2323" width="15.7109375" bestFit="1" customWidth="1"/>
    <col min="2324" max="2324" width="18.7109375" customWidth="1"/>
    <col min="2325" max="2325" width="14.5703125" customWidth="1"/>
    <col min="2326" max="2326" width="7.28515625" customWidth="1"/>
    <col min="2327" max="2327" width="0" hidden="1" customWidth="1"/>
    <col min="2328" max="2328" width="18.28515625" customWidth="1"/>
    <col min="2329" max="2329" width="0.28515625" customWidth="1"/>
    <col min="2574" max="2574" width="1.7109375" customWidth="1"/>
    <col min="2575" max="2575" width="16" customWidth="1"/>
    <col min="2576" max="2576" width="8" customWidth="1"/>
    <col min="2577" max="2577" width="20.85546875" customWidth="1"/>
    <col min="2578" max="2578" width="16.85546875" customWidth="1"/>
    <col min="2579" max="2579" width="15.7109375" bestFit="1" customWidth="1"/>
    <col min="2580" max="2580" width="18.7109375" customWidth="1"/>
    <col min="2581" max="2581" width="14.5703125" customWidth="1"/>
    <col min="2582" max="2582" width="7.28515625" customWidth="1"/>
    <col min="2583" max="2583" width="0" hidden="1" customWidth="1"/>
    <col min="2584" max="2584" width="18.28515625" customWidth="1"/>
    <col min="2585" max="2585" width="0.28515625" customWidth="1"/>
    <col min="2830" max="2830" width="1.7109375" customWidth="1"/>
    <col min="2831" max="2831" width="16" customWidth="1"/>
    <col min="2832" max="2832" width="8" customWidth="1"/>
    <col min="2833" max="2833" width="20.85546875" customWidth="1"/>
    <col min="2834" max="2834" width="16.85546875" customWidth="1"/>
    <col min="2835" max="2835" width="15.7109375" bestFit="1" customWidth="1"/>
    <col min="2836" max="2836" width="18.7109375" customWidth="1"/>
    <col min="2837" max="2837" width="14.5703125" customWidth="1"/>
    <col min="2838" max="2838" width="7.28515625" customWidth="1"/>
    <col min="2839" max="2839" width="0" hidden="1" customWidth="1"/>
    <col min="2840" max="2840" width="18.28515625" customWidth="1"/>
    <col min="2841" max="2841" width="0.28515625" customWidth="1"/>
    <col min="3086" max="3086" width="1.7109375" customWidth="1"/>
    <col min="3087" max="3087" width="16" customWidth="1"/>
    <col min="3088" max="3088" width="8" customWidth="1"/>
    <col min="3089" max="3089" width="20.85546875" customWidth="1"/>
    <col min="3090" max="3090" width="16.85546875" customWidth="1"/>
    <col min="3091" max="3091" width="15.7109375" bestFit="1" customWidth="1"/>
    <col min="3092" max="3092" width="18.7109375" customWidth="1"/>
    <col min="3093" max="3093" width="14.5703125" customWidth="1"/>
    <col min="3094" max="3094" width="7.28515625" customWidth="1"/>
    <col min="3095" max="3095" width="0" hidden="1" customWidth="1"/>
    <col min="3096" max="3096" width="18.28515625" customWidth="1"/>
    <col min="3097" max="3097" width="0.28515625" customWidth="1"/>
    <col min="3342" max="3342" width="1.7109375" customWidth="1"/>
    <col min="3343" max="3343" width="16" customWidth="1"/>
    <col min="3344" max="3344" width="8" customWidth="1"/>
    <col min="3345" max="3345" width="20.85546875" customWidth="1"/>
    <col min="3346" max="3346" width="16.85546875" customWidth="1"/>
    <col min="3347" max="3347" width="15.7109375" bestFit="1" customWidth="1"/>
    <col min="3348" max="3348" width="18.7109375" customWidth="1"/>
    <col min="3349" max="3349" width="14.5703125" customWidth="1"/>
    <col min="3350" max="3350" width="7.28515625" customWidth="1"/>
    <col min="3351" max="3351" width="0" hidden="1" customWidth="1"/>
    <col min="3352" max="3352" width="18.28515625" customWidth="1"/>
    <col min="3353" max="3353" width="0.28515625" customWidth="1"/>
    <col min="3598" max="3598" width="1.7109375" customWidth="1"/>
    <col min="3599" max="3599" width="16" customWidth="1"/>
    <col min="3600" max="3600" width="8" customWidth="1"/>
    <col min="3601" max="3601" width="20.85546875" customWidth="1"/>
    <col min="3602" max="3602" width="16.85546875" customWidth="1"/>
    <col min="3603" max="3603" width="15.7109375" bestFit="1" customWidth="1"/>
    <col min="3604" max="3604" width="18.7109375" customWidth="1"/>
    <col min="3605" max="3605" width="14.5703125" customWidth="1"/>
    <col min="3606" max="3606" width="7.28515625" customWidth="1"/>
    <col min="3607" max="3607" width="0" hidden="1" customWidth="1"/>
    <col min="3608" max="3608" width="18.28515625" customWidth="1"/>
    <col min="3609" max="3609" width="0.28515625" customWidth="1"/>
    <col min="3854" max="3854" width="1.7109375" customWidth="1"/>
    <col min="3855" max="3855" width="16" customWidth="1"/>
    <col min="3856" max="3856" width="8" customWidth="1"/>
    <col min="3857" max="3857" width="20.85546875" customWidth="1"/>
    <col min="3858" max="3858" width="16.85546875" customWidth="1"/>
    <col min="3859" max="3859" width="15.7109375" bestFit="1" customWidth="1"/>
    <col min="3860" max="3860" width="18.7109375" customWidth="1"/>
    <col min="3861" max="3861" width="14.5703125" customWidth="1"/>
    <col min="3862" max="3862" width="7.28515625" customWidth="1"/>
    <col min="3863" max="3863" width="0" hidden="1" customWidth="1"/>
    <col min="3864" max="3864" width="18.28515625" customWidth="1"/>
    <col min="3865" max="3865" width="0.28515625" customWidth="1"/>
    <col min="4110" max="4110" width="1.7109375" customWidth="1"/>
    <col min="4111" max="4111" width="16" customWidth="1"/>
    <col min="4112" max="4112" width="8" customWidth="1"/>
    <col min="4113" max="4113" width="20.85546875" customWidth="1"/>
    <col min="4114" max="4114" width="16.85546875" customWidth="1"/>
    <col min="4115" max="4115" width="15.7109375" bestFit="1" customWidth="1"/>
    <col min="4116" max="4116" width="18.7109375" customWidth="1"/>
    <col min="4117" max="4117" width="14.5703125" customWidth="1"/>
    <col min="4118" max="4118" width="7.28515625" customWidth="1"/>
    <col min="4119" max="4119" width="0" hidden="1" customWidth="1"/>
    <col min="4120" max="4120" width="18.28515625" customWidth="1"/>
    <col min="4121" max="4121" width="0.28515625" customWidth="1"/>
    <col min="4366" max="4366" width="1.7109375" customWidth="1"/>
    <col min="4367" max="4367" width="16" customWidth="1"/>
    <col min="4368" max="4368" width="8" customWidth="1"/>
    <col min="4369" max="4369" width="20.85546875" customWidth="1"/>
    <col min="4370" max="4370" width="16.85546875" customWidth="1"/>
    <col min="4371" max="4371" width="15.7109375" bestFit="1" customWidth="1"/>
    <col min="4372" max="4372" width="18.7109375" customWidth="1"/>
    <col min="4373" max="4373" width="14.5703125" customWidth="1"/>
    <col min="4374" max="4374" width="7.28515625" customWidth="1"/>
    <col min="4375" max="4375" width="0" hidden="1" customWidth="1"/>
    <col min="4376" max="4376" width="18.28515625" customWidth="1"/>
    <col min="4377" max="4377" width="0.28515625" customWidth="1"/>
    <col min="4622" max="4622" width="1.7109375" customWidth="1"/>
    <col min="4623" max="4623" width="16" customWidth="1"/>
    <col min="4624" max="4624" width="8" customWidth="1"/>
    <col min="4625" max="4625" width="20.85546875" customWidth="1"/>
    <col min="4626" max="4626" width="16.85546875" customWidth="1"/>
    <col min="4627" max="4627" width="15.7109375" bestFit="1" customWidth="1"/>
    <col min="4628" max="4628" width="18.7109375" customWidth="1"/>
    <col min="4629" max="4629" width="14.5703125" customWidth="1"/>
    <col min="4630" max="4630" width="7.28515625" customWidth="1"/>
    <col min="4631" max="4631" width="0" hidden="1" customWidth="1"/>
    <col min="4632" max="4632" width="18.28515625" customWidth="1"/>
    <col min="4633" max="4633" width="0.28515625" customWidth="1"/>
    <col min="4878" max="4878" width="1.7109375" customWidth="1"/>
    <col min="4879" max="4879" width="16" customWidth="1"/>
    <col min="4880" max="4880" width="8" customWidth="1"/>
    <col min="4881" max="4881" width="20.85546875" customWidth="1"/>
    <col min="4882" max="4882" width="16.85546875" customWidth="1"/>
    <col min="4883" max="4883" width="15.7109375" bestFit="1" customWidth="1"/>
    <col min="4884" max="4884" width="18.7109375" customWidth="1"/>
    <col min="4885" max="4885" width="14.5703125" customWidth="1"/>
    <col min="4886" max="4886" width="7.28515625" customWidth="1"/>
    <col min="4887" max="4887" width="0" hidden="1" customWidth="1"/>
    <col min="4888" max="4888" width="18.28515625" customWidth="1"/>
    <col min="4889" max="4889" width="0.28515625" customWidth="1"/>
    <col min="5134" max="5134" width="1.7109375" customWidth="1"/>
    <col min="5135" max="5135" width="16" customWidth="1"/>
    <col min="5136" max="5136" width="8" customWidth="1"/>
    <col min="5137" max="5137" width="20.85546875" customWidth="1"/>
    <col min="5138" max="5138" width="16.85546875" customWidth="1"/>
    <col min="5139" max="5139" width="15.7109375" bestFit="1" customWidth="1"/>
    <col min="5140" max="5140" width="18.7109375" customWidth="1"/>
    <col min="5141" max="5141" width="14.5703125" customWidth="1"/>
    <col min="5142" max="5142" width="7.28515625" customWidth="1"/>
    <col min="5143" max="5143" width="0" hidden="1" customWidth="1"/>
    <col min="5144" max="5144" width="18.28515625" customWidth="1"/>
    <col min="5145" max="5145" width="0.28515625" customWidth="1"/>
    <col min="5390" max="5390" width="1.7109375" customWidth="1"/>
    <col min="5391" max="5391" width="16" customWidth="1"/>
    <col min="5392" max="5392" width="8" customWidth="1"/>
    <col min="5393" max="5393" width="20.85546875" customWidth="1"/>
    <col min="5394" max="5394" width="16.85546875" customWidth="1"/>
    <col min="5395" max="5395" width="15.7109375" bestFit="1" customWidth="1"/>
    <col min="5396" max="5396" width="18.7109375" customWidth="1"/>
    <col min="5397" max="5397" width="14.5703125" customWidth="1"/>
    <col min="5398" max="5398" width="7.28515625" customWidth="1"/>
    <col min="5399" max="5399" width="0" hidden="1" customWidth="1"/>
    <col min="5400" max="5400" width="18.28515625" customWidth="1"/>
    <col min="5401" max="5401" width="0.28515625" customWidth="1"/>
    <col min="5646" max="5646" width="1.7109375" customWidth="1"/>
    <col min="5647" max="5647" width="16" customWidth="1"/>
    <col min="5648" max="5648" width="8" customWidth="1"/>
    <col min="5649" max="5649" width="20.85546875" customWidth="1"/>
    <col min="5650" max="5650" width="16.85546875" customWidth="1"/>
    <col min="5651" max="5651" width="15.7109375" bestFit="1" customWidth="1"/>
    <col min="5652" max="5652" width="18.7109375" customWidth="1"/>
    <col min="5653" max="5653" width="14.5703125" customWidth="1"/>
    <col min="5654" max="5654" width="7.28515625" customWidth="1"/>
    <col min="5655" max="5655" width="0" hidden="1" customWidth="1"/>
    <col min="5656" max="5656" width="18.28515625" customWidth="1"/>
    <col min="5657" max="5657" width="0.28515625" customWidth="1"/>
    <col min="5902" max="5902" width="1.7109375" customWidth="1"/>
    <col min="5903" max="5903" width="16" customWidth="1"/>
    <col min="5904" max="5904" width="8" customWidth="1"/>
    <col min="5905" max="5905" width="20.85546875" customWidth="1"/>
    <col min="5906" max="5906" width="16.85546875" customWidth="1"/>
    <col min="5907" max="5907" width="15.7109375" bestFit="1" customWidth="1"/>
    <col min="5908" max="5908" width="18.7109375" customWidth="1"/>
    <col min="5909" max="5909" width="14.5703125" customWidth="1"/>
    <col min="5910" max="5910" width="7.28515625" customWidth="1"/>
    <col min="5911" max="5911" width="0" hidden="1" customWidth="1"/>
    <col min="5912" max="5912" width="18.28515625" customWidth="1"/>
    <col min="5913" max="5913" width="0.28515625" customWidth="1"/>
    <col min="6158" max="6158" width="1.7109375" customWidth="1"/>
    <col min="6159" max="6159" width="16" customWidth="1"/>
    <col min="6160" max="6160" width="8" customWidth="1"/>
    <col min="6161" max="6161" width="20.85546875" customWidth="1"/>
    <col min="6162" max="6162" width="16.85546875" customWidth="1"/>
    <col min="6163" max="6163" width="15.7109375" bestFit="1" customWidth="1"/>
    <col min="6164" max="6164" width="18.7109375" customWidth="1"/>
    <col min="6165" max="6165" width="14.5703125" customWidth="1"/>
    <col min="6166" max="6166" width="7.28515625" customWidth="1"/>
    <col min="6167" max="6167" width="0" hidden="1" customWidth="1"/>
    <col min="6168" max="6168" width="18.28515625" customWidth="1"/>
    <col min="6169" max="6169" width="0.28515625" customWidth="1"/>
    <col min="6414" max="6414" width="1.7109375" customWidth="1"/>
    <col min="6415" max="6415" width="16" customWidth="1"/>
    <col min="6416" max="6416" width="8" customWidth="1"/>
    <col min="6417" max="6417" width="20.85546875" customWidth="1"/>
    <col min="6418" max="6418" width="16.85546875" customWidth="1"/>
    <col min="6419" max="6419" width="15.7109375" bestFit="1" customWidth="1"/>
    <col min="6420" max="6420" width="18.7109375" customWidth="1"/>
    <col min="6421" max="6421" width="14.5703125" customWidth="1"/>
    <col min="6422" max="6422" width="7.28515625" customWidth="1"/>
    <col min="6423" max="6423" width="0" hidden="1" customWidth="1"/>
    <col min="6424" max="6424" width="18.28515625" customWidth="1"/>
    <col min="6425" max="6425" width="0.28515625" customWidth="1"/>
    <col min="6670" max="6670" width="1.7109375" customWidth="1"/>
    <col min="6671" max="6671" width="16" customWidth="1"/>
    <col min="6672" max="6672" width="8" customWidth="1"/>
    <col min="6673" max="6673" width="20.85546875" customWidth="1"/>
    <col min="6674" max="6674" width="16.85546875" customWidth="1"/>
    <col min="6675" max="6675" width="15.7109375" bestFit="1" customWidth="1"/>
    <col min="6676" max="6676" width="18.7109375" customWidth="1"/>
    <col min="6677" max="6677" width="14.5703125" customWidth="1"/>
    <col min="6678" max="6678" width="7.28515625" customWidth="1"/>
    <col min="6679" max="6679" width="0" hidden="1" customWidth="1"/>
    <col min="6680" max="6680" width="18.28515625" customWidth="1"/>
    <col min="6681" max="6681" width="0.28515625" customWidth="1"/>
    <col min="6926" max="6926" width="1.7109375" customWidth="1"/>
    <col min="6927" max="6927" width="16" customWidth="1"/>
    <col min="6928" max="6928" width="8" customWidth="1"/>
    <col min="6929" max="6929" width="20.85546875" customWidth="1"/>
    <col min="6930" max="6930" width="16.85546875" customWidth="1"/>
    <col min="6931" max="6931" width="15.7109375" bestFit="1" customWidth="1"/>
    <col min="6932" max="6932" width="18.7109375" customWidth="1"/>
    <col min="6933" max="6933" width="14.5703125" customWidth="1"/>
    <col min="6934" max="6934" width="7.28515625" customWidth="1"/>
    <col min="6935" max="6935" width="0" hidden="1" customWidth="1"/>
    <col min="6936" max="6936" width="18.28515625" customWidth="1"/>
    <col min="6937" max="6937" width="0.28515625" customWidth="1"/>
    <col min="7182" max="7182" width="1.7109375" customWidth="1"/>
    <col min="7183" max="7183" width="16" customWidth="1"/>
    <col min="7184" max="7184" width="8" customWidth="1"/>
    <col min="7185" max="7185" width="20.85546875" customWidth="1"/>
    <col min="7186" max="7186" width="16.85546875" customWidth="1"/>
    <col min="7187" max="7187" width="15.7109375" bestFit="1" customWidth="1"/>
    <col min="7188" max="7188" width="18.7109375" customWidth="1"/>
    <col min="7189" max="7189" width="14.5703125" customWidth="1"/>
    <col min="7190" max="7190" width="7.28515625" customWidth="1"/>
    <col min="7191" max="7191" width="0" hidden="1" customWidth="1"/>
    <col min="7192" max="7192" width="18.28515625" customWidth="1"/>
    <col min="7193" max="7193" width="0.28515625" customWidth="1"/>
    <col min="7438" max="7438" width="1.7109375" customWidth="1"/>
    <col min="7439" max="7439" width="16" customWidth="1"/>
    <col min="7440" max="7440" width="8" customWidth="1"/>
    <col min="7441" max="7441" width="20.85546875" customWidth="1"/>
    <col min="7442" max="7442" width="16.85546875" customWidth="1"/>
    <col min="7443" max="7443" width="15.7109375" bestFit="1" customWidth="1"/>
    <col min="7444" max="7444" width="18.7109375" customWidth="1"/>
    <col min="7445" max="7445" width="14.5703125" customWidth="1"/>
    <col min="7446" max="7446" width="7.28515625" customWidth="1"/>
    <col min="7447" max="7447" width="0" hidden="1" customWidth="1"/>
    <col min="7448" max="7448" width="18.28515625" customWidth="1"/>
    <col min="7449" max="7449" width="0.28515625" customWidth="1"/>
    <col min="7694" max="7694" width="1.7109375" customWidth="1"/>
    <col min="7695" max="7695" width="16" customWidth="1"/>
    <col min="7696" max="7696" width="8" customWidth="1"/>
    <col min="7697" max="7697" width="20.85546875" customWidth="1"/>
    <col min="7698" max="7698" width="16.85546875" customWidth="1"/>
    <col min="7699" max="7699" width="15.7109375" bestFit="1" customWidth="1"/>
    <col min="7700" max="7700" width="18.7109375" customWidth="1"/>
    <col min="7701" max="7701" width="14.5703125" customWidth="1"/>
    <col min="7702" max="7702" width="7.28515625" customWidth="1"/>
    <col min="7703" max="7703" width="0" hidden="1" customWidth="1"/>
    <col min="7704" max="7704" width="18.28515625" customWidth="1"/>
    <col min="7705" max="7705" width="0.28515625" customWidth="1"/>
    <col min="7950" max="7950" width="1.7109375" customWidth="1"/>
    <col min="7951" max="7951" width="16" customWidth="1"/>
    <col min="7952" max="7952" width="8" customWidth="1"/>
    <col min="7953" max="7953" width="20.85546875" customWidth="1"/>
    <col min="7954" max="7954" width="16.85546875" customWidth="1"/>
    <col min="7955" max="7955" width="15.7109375" bestFit="1" customWidth="1"/>
    <col min="7956" max="7956" width="18.7109375" customWidth="1"/>
    <col min="7957" max="7957" width="14.5703125" customWidth="1"/>
    <col min="7958" max="7958" width="7.28515625" customWidth="1"/>
    <col min="7959" max="7959" width="0" hidden="1" customWidth="1"/>
    <col min="7960" max="7960" width="18.28515625" customWidth="1"/>
    <col min="7961" max="7961" width="0.28515625" customWidth="1"/>
    <col min="8206" max="8206" width="1.7109375" customWidth="1"/>
    <col min="8207" max="8207" width="16" customWidth="1"/>
    <col min="8208" max="8208" width="8" customWidth="1"/>
    <col min="8209" max="8209" width="20.85546875" customWidth="1"/>
    <col min="8210" max="8210" width="16.85546875" customWidth="1"/>
    <col min="8211" max="8211" width="15.7109375" bestFit="1" customWidth="1"/>
    <col min="8212" max="8212" width="18.7109375" customWidth="1"/>
    <col min="8213" max="8213" width="14.5703125" customWidth="1"/>
    <col min="8214" max="8214" width="7.28515625" customWidth="1"/>
    <col min="8215" max="8215" width="0" hidden="1" customWidth="1"/>
    <col min="8216" max="8216" width="18.28515625" customWidth="1"/>
    <col min="8217" max="8217" width="0.28515625" customWidth="1"/>
    <col min="8462" max="8462" width="1.7109375" customWidth="1"/>
    <col min="8463" max="8463" width="16" customWidth="1"/>
    <col min="8464" max="8464" width="8" customWidth="1"/>
    <col min="8465" max="8465" width="20.85546875" customWidth="1"/>
    <col min="8466" max="8466" width="16.85546875" customWidth="1"/>
    <col min="8467" max="8467" width="15.7109375" bestFit="1" customWidth="1"/>
    <col min="8468" max="8468" width="18.7109375" customWidth="1"/>
    <col min="8469" max="8469" width="14.5703125" customWidth="1"/>
    <col min="8470" max="8470" width="7.28515625" customWidth="1"/>
    <col min="8471" max="8471" width="0" hidden="1" customWidth="1"/>
    <col min="8472" max="8472" width="18.28515625" customWidth="1"/>
    <col min="8473" max="8473" width="0.28515625" customWidth="1"/>
    <col min="8718" max="8718" width="1.7109375" customWidth="1"/>
    <col min="8719" max="8719" width="16" customWidth="1"/>
    <col min="8720" max="8720" width="8" customWidth="1"/>
    <col min="8721" max="8721" width="20.85546875" customWidth="1"/>
    <col min="8722" max="8722" width="16.85546875" customWidth="1"/>
    <col min="8723" max="8723" width="15.7109375" bestFit="1" customWidth="1"/>
    <col min="8724" max="8724" width="18.7109375" customWidth="1"/>
    <col min="8725" max="8725" width="14.5703125" customWidth="1"/>
    <col min="8726" max="8726" width="7.28515625" customWidth="1"/>
    <col min="8727" max="8727" width="0" hidden="1" customWidth="1"/>
    <col min="8728" max="8728" width="18.28515625" customWidth="1"/>
    <col min="8729" max="8729" width="0.28515625" customWidth="1"/>
    <col min="8974" max="8974" width="1.7109375" customWidth="1"/>
    <col min="8975" max="8975" width="16" customWidth="1"/>
    <col min="8976" max="8976" width="8" customWidth="1"/>
    <col min="8977" max="8977" width="20.85546875" customWidth="1"/>
    <col min="8978" max="8978" width="16.85546875" customWidth="1"/>
    <col min="8979" max="8979" width="15.7109375" bestFit="1" customWidth="1"/>
    <col min="8980" max="8980" width="18.7109375" customWidth="1"/>
    <col min="8981" max="8981" width="14.5703125" customWidth="1"/>
    <col min="8982" max="8982" width="7.28515625" customWidth="1"/>
    <col min="8983" max="8983" width="0" hidden="1" customWidth="1"/>
    <col min="8984" max="8984" width="18.28515625" customWidth="1"/>
    <col min="8985" max="8985" width="0.28515625" customWidth="1"/>
    <col min="9230" max="9230" width="1.7109375" customWidth="1"/>
    <col min="9231" max="9231" width="16" customWidth="1"/>
    <col min="9232" max="9232" width="8" customWidth="1"/>
    <col min="9233" max="9233" width="20.85546875" customWidth="1"/>
    <col min="9234" max="9234" width="16.85546875" customWidth="1"/>
    <col min="9235" max="9235" width="15.7109375" bestFit="1" customWidth="1"/>
    <col min="9236" max="9236" width="18.7109375" customWidth="1"/>
    <col min="9237" max="9237" width="14.5703125" customWidth="1"/>
    <col min="9238" max="9238" width="7.28515625" customWidth="1"/>
    <col min="9239" max="9239" width="0" hidden="1" customWidth="1"/>
    <col min="9240" max="9240" width="18.28515625" customWidth="1"/>
    <col min="9241" max="9241" width="0.28515625" customWidth="1"/>
    <col min="9486" max="9486" width="1.7109375" customWidth="1"/>
    <col min="9487" max="9487" width="16" customWidth="1"/>
    <col min="9488" max="9488" width="8" customWidth="1"/>
    <col min="9489" max="9489" width="20.85546875" customWidth="1"/>
    <col min="9490" max="9490" width="16.85546875" customWidth="1"/>
    <col min="9491" max="9491" width="15.7109375" bestFit="1" customWidth="1"/>
    <col min="9492" max="9492" width="18.7109375" customWidth="1"/>
    <col min="9493" max="9493" width="14.5703125" customWidth="1"/>
    <col min="9494" max="9494" width="7.28515625" customWidth="1"/>
    <col min="9495" max="9495" width="0" hidden="1" customWidth="1"/>
    <col min="9496" max="9496" width="18.28515625" customWidth="1"/>
    <col min="9497" max="9497" width="0.28515625" customWidth="1"/>
    <col min="9742" max="9742" width="1.7109375" customWidth="1"/>
    <col min="9743" max="9743" width="16" customWidth="1"/>
    <col min="9744" max="9744" width="8" customWidth="1"/>
    <col min="9745" max="9745" width="20.85546875" customWidth="1"/>
    <col min="9746" max="9746" width="16.85546875" customWidth="1"/>
    <col min="9747" max="9747" width="15.7109375" bestFit="1" customWidth="1"/>
    <col min="9748" max="9748" width="18.7109375" customWidth="1"/>
    <col min="9749" max="9749" width="14.5703125" customWidth="1"/>
    <col min="9750" max="9750" width="7.28515625" customWidth="1"/>
    <col min="9751" max="9751" width="0" hidden="1" customWidth="1"/>
    <col min="9752" max="9752" width="18.28515625" customWidth="1"/>
    <col min="9753" max="9753" width="0.28515625" customWidth="1"/>
    <col min="9998" max="9998" width="1.7109375" customWidth="1"/>
    <col min="9999" max="9999" width="16" customWidth="1"/>
    <col min="10000" max="10000" width="8" customWidth="1"/>
    <col min="10001" max="10001" width="20.85546875" customWidth="1"/>
    <col min="10002" max="10002" width="16.85546875" customWidth="1"/>
    <col min="10003" max="10003" width="15.7109375" bestFit="1" customWidth="1"/>
    <col min="10004" max="10004" width="18.7109375" customWidth="1"/>
    <col min="10005" max="10005" width="14.5703125" customWidth="1"/>
    <col min="10006" max="10006" width="7.28515625" customWidth="1"/>
    <col min="10007" max="10007" width="0" hidden="1" customWidth="1"/>
    <col min="10008" max="10008" width="18.28515625" customWidth="1"/>
    <col min="10009" max="10009" width="0.28515625" customWidth="1"/>
    <col min="10254" max="10254" width="1.7109375" customWidth="1"/>
    <col min="10255" max="10255" width="16" customWidth="1"/>
    <col min="10256" max="10256" width="8" customWidth="1"/>
    <col min="10257" max="10257" width="20.85546875" customWidth="1"/>
    <col min="10258" max="10258" width="16.85546875" customWidth="1"/>
    <col min="10259" max="10259" width="15.7109375" bestFit="1" customWidth="1"/>
    <col min="10260" max="10260" width="18.7109375" customWidth="1"/>
    <col min="10261" max="10261" width="14.5703125" customWidth="1"/>
    <col min="10262" max="10262" width="7.28515625" customWidth="1"/>
    <col min="10263" max="10263" width="0" hidden="1" customWidth="1"/>
    <col min="10264" max="10264" width="18.28515625" customWidth="1"/>
    <col min="10265" max="10265" width="0.28515625" customWidth="1"/>
    <col min="10510" max="10510" width="1.7109375" customWidth="1"/>
    <col min="10511" max="10511" width="16" customWidth="1"/>
    <col min="10512" max="10512" width="8" customWidth="1"/>
    <col min="10513" max="10513" width="20.85546875" customWidth="1"/>
    <col min="10514" max="10514" width="16.85546875" customWidth="1"/>
    <col min="10515" max="10515" width="15.7109375" bestFit="1" customWidth="1"/>
    <col min="10516" max="10516" width="18.7109375" customWidth="1"/>
    <col min="10517" max="10517" width="14.5703125" customWidth="1"/>
    <col min="10518" max="10518" width="7.28515625" customWidth="1"/>
    <col min="10519" max="10519" width="0" hidden="1" customWidth="1"/>
    <col min="10520" max="10520" width="18.28515625" customWidth="1"/>
    <col min="10521" max="10521" width="0.28515625" customWidth="1"/>
    <col min="10766" max="10766" width="1.7109375" customWidth="1"/>
    <col min="10767" max="10767" width="16" customWidth="1"/>
    <col min="10768" max="10768" width="8" customWidth="1"/>
    <col min="10769" max="10769" width="20.85546875" customWidth="1"/>
    <col min="10770" max="10770" width="16.85546875" customWidth="1"/>
    <col min="10771" max="10771" width="15.7109375" bestFit="1" customWidth="1"/>
    <col min="10772" max="10772" width="18.7109375" customWidth="1"/>
    <col min="10773" max="10773" width="14.5703125" customWidth="1"/>
    <col min="10774" max="10774" width="7.28515625" customWidth="1"/>
    <col min="10775" max="10775" width="0" hidden="1" customWidth="1"/>
    <col min="10776" max="10776" width="18.28515625" customWidth="1"/>
    <col min="10777" max="10777" width="0.28515625" customWidth="1"/>
    <col min="11022" max="11022" width="1.7109375" customWidth="1"/>
    <col min="11023" max="11023" width="16" customWidth="1"/>
    <col min="11024" max="11024" width="8" customWidth="1"/>
    <col min="11025" max="11025" width="20.85546875" customWidth="1"/>
    <col min="11026" max="11026" width="16.85546875" customWidth="1"/>
    <col min="11027" max="11027" width="15.7109375" bestFit="1" customWidth="1"/>
    <col min="11028" max="11028" width="18.7109375" customWidth="1"/>
    <col min="11029" max="11029" width="14.5703125" customWidth="1"/>
    <col min="11030" max="11030" width="7.28515625" customWidth="1"/>
    <col min="11031" max="11031" width="0" hidden="1" customWidth="1"/>
    <col min="11032" max="11032" width="18.28515625" customWidth="1"/>
    <col min="11033" max="11033" width="0.28515625" customWidth="1"/>
    <col min="11278" max="11278" width="1.7109375" customWidth="1"/>
    <col min="11279" max="11279" width="16" customWidth="1"/>
    <col min="11280" max="11280" width="8" customWidth="1"/>
    <col min="11281" max="11281" width="20.85546875" customWidth="1"/>
    <col min="11282" max="11282" width="16.85546875" customWidth="1"/>
    <col min="11283" max="11283" width="15.7109375" bestFit="1" customWidth="1"/>
    <col min="11284" max="11284" width="18.7109375" customWidth="1"/>
    <col min="11285" max="11285" width="14.5703125" customWidth="1"/>
    <col min="11286" max="11286" width="7.28515625" customWidth="1"/>
    <col min="11287" max="11287" width="0" hidden="1" customWidth="1"/>
    <col min="11288" max="11288" width="18.28515625" customWidth="1"/>
    <col min="11289" max="11289" width="0.28515625" customWidth="1"/>
    <col min="11534" max="11534" width="1.7109375" customWidth="1"/>
    <col min="11535" max="11535" width="16" customWidth="1"/>
    <col min="11536" max="11536" width="8" customWidth="1"/>
    <col min="11537" max="11537" width="20.85546875" customWidth="1"/>
    <col min="11538" max="11538" width="16.85546875" customWidth="1"/>
    <col min="11539" max="11539" width="15.7109375" bestFit="1" customWidth="1"/>
    <col min="11540" max="11540" width="18.7109375" customWidth="1"/>
    <col min="11541" max="11541" width="14.5703125" customWidth="1"/>
    <col min="11542" max="11542" width="7.28515625" customWidth="1"/>
    <col min="11543" max="11543" width="0" hidden="1" customWidth="1"/>
    <col min="11544" max="11544" width="18.28515625" customWidth="1"/>
    <col min="11545" max="11545" width="0.28515625" customWidth="1"/>
    <col min="11790" max="11790" width="1.7109375" customWidth="1"/>
    <col min="11791" max="11791" width="16" customWidth="1"/>
    <col min="11792" max="11792" width="8" customWidth="1"/>
    <col min="11793" max="11793" width="20.85546875" customWidth="1"/>
    <col min="11794" max="11794" width="16.85546875" customWidth="1"/>
    <col min="11795" max="11795" width="15.7109375" bestFit="1" customWidth="1"/>
    <col min="11796" max="11796" width="18.7109375" customWidth="1"/>
    <col min="11797" max="11797" width="14.5703125" customWidth="1"/>
    <col min="11798" max="11798" width="7.28515625" customWidth="1"/>
    <col min="11799" max="11799" width="0" hidden="1" customWidth="1"/>
    <col min="11800" max="11800" width="18.28515625" customWidth="1"/>
    <col min="11801" max="11801" width="0.28515625" customWidth="1"/>
    <col min="12046" max="12046" width="1.7109375" customWidth="1"/>
    <col min="12047" max="12047" width="16" customWidth="1"/>
    <col min="12048" max="12048" width="8" customWidth="1"/>
    <col min="12049" max="12049" width="20.85546875" customWidth="1"/>
    <col min="12050" max="12050" width="16.85546875" customWidth="1"/>
    <col min="12051" max="12051" width="15.7109375" bestFit="1" customWidth="1"/>
    <col min="12052" max="12052" width="18.7109375" customWidth="1"/>
    <col min="12053" max="12053" width="14.5703125" customWidth="1"/>
    <col min="12054" max="12054" width="7.28515625" customWidth="1"/>
    <col min="12055" max="12055" width="0" hidden="1" customWidth="1"/>
    <col min="12056" max="12056" width="18.28515625" customWidth="1"/>
    <col min="12057" max="12057" width="0.28515625" customWidth="1"/>
    <col min="12302" max="12302" width="1.7109375" customWidth="1"/>
    <col min="12303" max="12303" width="16" customWidth="1"/>
    <col min="12304" max="12304" width="8" customWidth="1"/>
    <col min="12305" max="12305" width="20.85546875" customWidth="1"/>
    <col min="12306" max="12306" width="16.85546875" customWidth="1"/>
    <col min="12307" max="12307" width="15.7109375" bestFit="1" customWidth="1"/>
    <col min="12308" max="12308" width="18.7109375" customWidth="1"/>
    <col min="12309" max="12309" width="14.5703125" customWidth="1"/>
    <col min="12310" max="12310" width="7.28515625" customWidth="1"/>
    <col min="12311" max="12311" width="0" hidden="1" customWidth="1"/>
    <col min="12312" max="12312" width="18.28515625" customWidth="1"/>
    <col min="12313" max="12313" width="0.28515625" customWidth="1"/>
    <col min="12558" max="12558" width="1.7109375" customWidth="1"/>
    <col min="12559" max="12559" width="16" customWidth="1"/>
    <col min="12560" max="12560" width="8" customWidth="1"/>
    <col min="12561" max="12561" width="20.85546875" customWidth="1"/>
    <col min="12562" max="12562" width="16.85546875" customWidth="1"/>
    <col min="12563" max="12563" width="15.7109375" bestFit="1" customWidth="1"/>
    <col min="12564" max="12564" width="18.7109375" customWidth="1"/>
    <col min="12565" max="12565" width="14.5703125" customWidth="1"/>
    <col min="12566" max="12566" width="7.28515625" customWidth="1"/>
    <col min="12567" max="12567" width="0" hidden="1" customWidth="1"/>
    <col min="12568" max="12568" width="18.28515625" customWidth="1"/>
    <col min="12569" max="12569" width="0.28515625" customWidth="1"/>
    <col min="12814" max="12814" width="1.7109375" customWidth="1"/>
    <col min="12815" max="12815" width="16" customWidth="1"/>
    <col min="12816" max="12816" width="8" customWidth="1"/>
    <col min="12817" max="12817" width="20.85546875" customWidth="1"/>
    <col min="12818" max="12818" width="16.85546875" customWidth="1"/>
    <col min="12819" max="12819" width="15.7109375" bestFit="1" customWidth="1"/>
    <col min="12820" max="12820" width="18.7109375" customWidth="1"/>
    <col min="12821" max="12821" width="14.5703125" customWidth="1"/>
    <col min="12822" max="12822" width="7.28515625" customWidth="1"/>
    <col min="12823" max="12823" width="0" hidden="1" customWidth="1"/>
    <col min="12824" max="12824" width="18.28515625" customWidth="1"/>
    <col min="12825" max="12825" width="0.28515625" customWidth="1"/>
    <col min="13070" max="13070" width="1.7109375" customWidth="1"/>
    <col min="13071" max="13071" width="16" customWidth="1"/>
    <col min="13072" max="13072" width="8" customWidth="1"/>
    <col min="13073" max="13073" width="20.85546875" customWidth="1"/>
    <col min="13074" max="13074" width="16.85546875" customWidth="1"/>
    <col min="13075" max="13075" width="15.7109375" bestFit="1" customWidth="1"/>
    <col min="13076" max="13076" width="18.7109375" customWidth="1"/>
    <col min="13077" max="13077" width="14.5703125" customWidth="1"/>
    <col min="13078" max="13078" width="7.28515625" customWidth="1"/>
    <col min="13079" max="13079" width="0" hidden="1" customWidth="1"/>
    <col min="13080" max="13080" width="18.28515625" customWidth="1"/>
    <col min="13081" max="13081" width="0.28515625" customWidth="1"/>
    <col min="13326" max="13326" width="1.7109375" customWidth="1"/>
    <col min="13327" max="13327" width="16" customWidth="1"/>
    <col min="13328" max="13328" width="8" customWidth="1"/>
    <col min="13329" max="13329" width="20.85546875" customWidth="1"/>
    <col min="13330" max="13330" width="16.85546875" customWidth="1"/>
    <col min="13331" max="13331" width="15.7109375" bestFit="1" customWidth="1"/>
    <col min="13332" max="13332" width="18.7109375" customWidth="1"/>
    <col min="13333" max="13333" width="14.5703125" customWidth="1"/>
    <col min="13334" max="13334" width="7.28515625" customWidth="1"/>
    <col min="13335" max="13335" width="0" hidden="1" customWidth="1"/>
    <col min="13336" max="13336" width="18.28515625" customWidth="1"/>
    <col min="13337" max="13337" width="0.28515625" customWidth="1"/>
    <col min="13582" max="13582" width="1.7109375" customWidth="1"/>
    <col min="13583" max="13583" width="16" customWidth="1"/>
    <col min="13584" max="13584" width="8" customWidth="1"/>
    <col min="13585" max="13585" width="20.85546875" customWidth="1"/>
    <col min="13586" max="13586" width="16.85546875" customWidth="1"/>
    <col min="13587" max="13587" width="15.7109375" bestFit="1" customWidth="1"/>
    <col min="13588" max="13588" width="18.7109375" customWidth="1"/>
    <col min="13589" max="13589" width="14.5703125" customWidth="1"/>
    <col min="13590" max="13590" width="7.28515625" customWidth="1"/>
    <col min="13591" max="13591" width="0" hidden="1" customWidth="1"/>
    <col min="13592" max="13592" width="18.28515625" customWidth="1"/>
    <col min="13593" max="13593" width="0.28515625" customWidth="1"/>
    <col min="13838" max="13838" width="1.7109375" customWidth="1"/>
    <col min="13839" max="13839" width="16" customWidth="1"/>
    <col min="13840" max="13840" width="8" customWidth="1"/>
    <col min="13841" max="13841" width="20.85546875" customWidth="1"/>
    <col min="13842" max="13842" width="16.85546875" customWidth="1"/>
    <col min="13843" max="13843" width="15.7109375" bestFit="1" customWidth="1"/>
    <col min="13844" max="13844" width="18.7109375" customWidth="1"/>
    <col min="13845" max="13845" width="14.5703125" customWidth="1"/>
    <col min="13846" max="13846" width="7.28515625" customWidth="1"/>
    <col min="13847" max="13847" width="0" hidden="1" customWidth="1"/>
    <col min="13848" max="13848" width="18.28515625" customWidth="1"/>
    <col min="13849" max="13849" width="0.28515625" customWidth="1"/>
    <col min="14094" max="14094" width="1.7109375" customWidth="1"/>
    <col min="14095" max="14095" width="16" customWidth="1"/>
    <col min="14096" max="14096" width="8" customWidth="1"/>
    <col min="14097" max="14097" width="20.85546875" customWidth="1"/>
    <col min="14098" max="14098" width="16.85546875" customWidth="1"/>
    <col min="14099" max="14099" width="15.7109375" bestFit="1" customWidth="1"/>
    <col min="14100" max="14100" width="18.7109375" customWidth="1"/>
    <col min="14101" max="14101" width="14.5703125" customWidth="1"/>
    <col min="14102" max="14102" width="7.28515625" customWidth="1"/>
    <col min="14103" max="14103" width="0" hidden="1" customWidth="1"/>
    <col min="14104" max="14104" width="18.28515625" customWidth="1"/>
    <col min="14105" max="14105" width="0.28515625" customWidth="1"/>
    <col min="14350" max="14350" width="1.7109375" customWidth="1"/>
    <col min="14351" max="14351" width="16" customWidth="1"/>
    <col min="14352" max="14352" width="8" customWidth="1"/>
    <col min="14353" max="14353" width="20.85546875" customWidth="1"/>
    <col min="14354" max="14354" width="16.85546875" customWidth="1"/>
    <col min="14355" max="14355" width="15.7109375" bestFit="1" customWidth="1"/>
    <col min="14356" max="14356" width="18.7109375" customWidth="1"/>
    <col min="14357" max="14357" width="14.5703125" customWidth="1"/>
    <col min="14358" max="14358" width="7.28515625" customWidth="1"/>
    <col min="14359" max="14359" width="0" hidden="1" customWidth="1"/>
    <col min="14360" max="14360" width="18.28515625" customWidth="1"/>
    <col min="14361" max="14361" width="0.28515625" customWidth="1"/>
    <col min="14606" max="14606" width="1.7109375" customWidth="1"/>
    <col min="14607" max="14607" width="16" customWidth="1"/>
    <col min="14608" max="14608" width="8" customWidth="1"/>
    <col min="14609" max="14609" width="20.85546875" customWidth="1"/>
    <col min="14610" max="14610" width="16.85546875" customWidth="1"/>
    <col min="14611" max="14611" width="15.7109375" bestFit="1" customWidth="1"/>
    <col min="14612" max="14612" width="18.7109375" customWidth="1"/>
    <col min="14613" max="14613" width="14.5703125" customWidth="1"/>
    <col min="14614" max="14614" width="7.28515625" customWidth="1"/>
    <col min="14615" max="14615" width="0" hidden="1" customWidth="1"/>
    <col min="14616" max="14616" width="18.28515625" customWidth="1"/>
    <col min="14617" max="14617" width="0.28515625" customWidth="1"/>
    <col min="14862" max="14862" width="1.7109375" customWidth="1"/>
    <col min="14863" max="14863" width="16" customWidth="1"/>
    <col min="14864" max="14864" width="8" customWidth="1"/>
    <col min="14865" max="14865" width="20.85546875" customWidth="1"/>
    <col min="14866" max="14866" width="16.85546875" customWidth="1"/>
    <col min="14867" max="14867" width="15.7109375" bestFit="1" customWidth="1"/>
    <col min="14868" max="14868" width="18.7109375" customWidth="1"/>
    <col min="14869" max="14869" width="14.5703125" customWidth="1"/>
    <col min="14870" max="14870" width="7.28515625" customWidth="1"/>
    <col min="14871" max="14871" width="0" hidden="1" customWidth="1"/>
    <col min="14872" max="14872" width="18.28515625" customWidth="1"/>
    <col min="14873" max="14873" width="0.28515625" customWidth="1"/>
    <col min="15118" max="15118" width="1.7109375" customWidth="1"/>
    <col min="15119" max="15119" width="16" customWidth="1"/>
    <col min="15120" max="15120" width="8" customWidth="1"/>
    <col min="15121" max="15121" width="20.85546875" customWidth="1"/>
    <col min="15122" max="15122" width="16.85546875" customWidth="1"/>
    <col min="15123" max="15123" width="15.7109375" bestFit="1" customWidth="1"/>
    <col min="15124" max="15124" width="18.7109375" customWidth="1"/>
    <col min="15125" max="15125" width="14.5703125" customWidth="1"/>
    <col min="15126" max="15126" width="7.28515625" customWidth="1"/>
    <col min="15127" max="15127" width="0" hidden="1" customWidth="1"/>
    <col min="15128" max="15128" width="18.28515625" customWidth="1"/>
    <col min="15129" max="15129" width="0.28515625" customWidth="1"/>
    <col min="15374" max="15374" width="1.7109375" customWidth="1"/>
    <col min="15375" max="15375" width="16" customWidth="1"/>
    <col min="15376" max="15376" width="8" customWidth="1"/>
    <col min="15377" max="15377" width="20.85546875" customWidth="1"/>
    <col min="15378" max="15378" width="16.85546875" customWidth="1"/>
    <col min="15379" max="15379" width="15.7109375" bestFit="1" customWidth="1"/>
    <col min="15380" max="15380" width="18.7109375" customWidth="1"/>
    <col min="15381" max="15381" width="14.5703125" customWidth="1"/>
    <col min="15382" max="15382" width="7.28515625" customWidth="1"/>
    <col min="15383" max="15383" width="0" hidden="1" customWidth="1"/>
    <col min="15384" max="15384" width="18.28515625" customWidth="1"/>
    <col min="15385" max="15385" width="0.28515625" customWidth="1"/>
    <col min="15630" max="15630" width="1.7109375" customWidth="1"/>
    <col min="15631" max="15631" width="16" customWidth="1"/>
    <col min="15632" max="15632" width="8" customWidth="1"/>
    <col min="15633" max="15633" width="20.85546875" customWidth="1"/>
    <col min="15634" max="15634" width="16.85546875" customWidth="1"/>
    <col min="15635" max="15635" width="15.7109375" bestFit="1" customWidth="1"/>
    <col min="15636" max="15636" width="18.7109375" customWidth="1"/>
    <col min="15637" max="15637" width="14.5703125" customWidth="1"/>
    <col min="15638" max="15638" width="7.28515625" customWidth="1"/>
    <col min="15639" max="15639" width="0" hidden="1" customWidth="1"/>
    <col min="15640" max="15640" width="18.28515625" customWidth="1"/>
    <col min="15641" max="15641" width="0.28515625" customWidth="1"/>
    <col min="15886" max="15886" width="1.7109375" customWidth="1"/>
    <col min="15887" max="15887" width="16" customWidth="1"/>
    <col min="15888" max="15888" width="8" customWidth="1"/>
    <col min="15889" max="15889" width="20.85546875" customWidth="1"/>
    <col min="15890" max="15890" width="16.85546875" customWidth="1"/>
    <col min="15891" max="15891" width="15.7109375" bestFit="1" customWidth="1"/>
    <col min="15892" max="15892" width="18.7109375" customWidth="1"/>
    <col min="15893" max="15893" width="14.5703125" customWidth="1"/>
    <col min="15894" max="15894" width="7.28515625" customWidth="1"/>
    <col min="15895" max="15895" width="0" hidden="1" customWidth="1"/>
    <col min="15896" max="15896" width="18.28515625" customWidth="1"/>
    <col min="15897" max="15897" width="0.28515625" customWidth="1"/>
    <col min="16142" max="16142" width="1.7109375" customWidth="1"/>
    <col min="16143" max="16143" width="16" customWidth="1"/>
    <col min="16144" max="16144" width="8" customWidth="1"/>
    <col min="16145" max="16145" width="20.85546875" customWidth="1"/>
    <col min="16146" max="16146" width="16.85546875" customWidth="1"/>
    <col min="16147" max="16147" width="15.7109375" bestFit="1" customWidth="1"/>
    <col min="16148" max="16148" width="18.7109375" customWidth="1"/>
    <col min="16149" max="16149" width="14.5703125" customWidth="1"/>
    <col min="16150" max="16150" width="7.28515625" customWidth="1"/>
    <col min="16151" max="16151" width="0" hidden="1" customWidth="1"/>
    <col min="16152" max="16152" width="18.28515625" customWidth="1"/>
    <col min="16153" max="16153" width="0.28515625" customWidth="1"/>
  </cols>
  <sheetData>
    <row r="1" spans="1:25" ht="12.75" customHeight="1" x14ac:dyDescent="0.2">
      <c r="A1" s="111"/>
      <c r="B1" s="111"/>
      <c r="C1" s="55"/>
      <c r="D1" s="112" t="s">
        <v>62</v>
      </c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</row>
    <row r="2" spans="1:25" ht="20.100000000000001" customHeight="1" x14ac:dyDescent="0.2">
      <c r="A2" s="111"/>
      <c r="B2" s="111"/>
      <c r="C2" s="55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5" ht="11.25" customHeight="1" x14ac:dyDescent="0.2">
      <c r="A3" s="111"/>
      <c r="B3" s="111"/>
      <c r="C3" s="55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</row>
    <row r="4" spans="1:25" ht="13.5" customHeight="1" x14ac:dyDescent="0.2">
      <c r="A4" s="111"/>
      <c r="B4" s="111"/>
      <c r="C4" s="55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</row>
    <row r="5" spans="1:25" ht="36" x14ac:dyDescent="0.2">
      <c r="A5" s="110" t="s">
        <v>94</v>
      </c>
      <c r="B5" s="110"/>
      <c r="C5" s="110"/>
      <c r="D5" s="110"/>
      <c r="E5" s="110" t="s">
        <v>95</v>
      </c>
      <c r="F5" s="110"/>
      <c r="G5" s="110" t="s">
        <v>69</v>
      </c>
      <c r="H5" s="110"/>
      <c r="I5" s="67" t="s">
        <v>96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</row>
    <row r="6" spans="1:25" s="2" customFormat="1" ht="31.5" customHeight="1" thickBot="1" x14ac:dyDescent="0.25">
      <c r="A6" s="48" t="s">
        <v>0</v>
      </c>
      <c r="B6" s="49" t="s">
        <v>93</v>
      </c>
      <c r="C6" s="50" t="s">
        <v>65</v>
      </c>
      <c r="D6" s="51" t="s">
        <v>1</v>
      </c>
      <c r="E6" s="52" t="s">
        <v>68</v>
      </c>
      <c r="F6" s="53" t="s">
        <v>66</v>
      </c>
      <c r="G6" s="52" t="s">
        <v>68</v>
      </c>
      <c r="H6" s="53" t="s">
        <v>66</v>
      </c>
      <c r="I6" s="71" t="s">
        <v>97</v>
      </c>
      <c r="J6" s="50" t="s">
        <v>63</v>
      </c>
      <c r="K6" s="50" t="s">
        <v>92</v>
      </c>
      <c r="L6" s="50" t="s">
        <v>63</v>
      </c>
      <c r="M6" s="50" t="s">
        <v>98</v>
      </c>
      <c r="N6" s="50" t="s">
        <v>92</v>
      </c>
      <c r="O6" s="50" t="s">
        <v>63</v>
      </c>
      <c r="P6" s="50" t="s">
        <v>92</v>
      </c>
      <c r="Q6" s="50" t="s">
        <v>63</v>
      </c>
      <c r="R6" s="50" t="s">
        <v>92</v>
      </c>
      <c r="S6" s="50" t="s">
        <v>63</v>
      </c>
      <c r="T6" s="50" t="s">
        <v>92</v>
      </c>
      <c r="U6" s="50" t="s">
        <v>63</v>
      </c>
      <c r="V6" s="50" t="s">
        <v>92</v>
      </c>
      <c r="W6" s="50" t="s">
        <v>63</v>
      </c>
      <c r="X6" s="50" t="s">
        <v>92</v>
      </c>
      <c r="Y6" s="54" t="s">
        <v>63</v>
      </c>
    </row>
    <row r="7" spans="1:25" s="7" customFormat="1" ht="24.75" customHeight="1" thickBot="1" x14ac:dyDescent="0.25">
      <c r="A7" s="107" t="s">
        <v>2</v>
      </c>
      <c r="B7" s="21" t="s">
        <v>71</v>
      </c>
      <c r="C7" s="21">
        <v>33</v>
      </c>
      <c r="D7" s="28" t="s">
        <v>3</v>
      </c>
      <c r="E7" s="35">
        <v>33</v>
      </c>
      <c r="F7" s="36" t="s">
        <v>67</v>
      </c>
      <c r="G7" s="35">
        <v>33</v>
      </c>
      <c r="H7" s="36" t="s">
        <v>67</v>
      </c>
      <c r="I7" s="62">
        <v>410</v>
      </c>
      <c r="J7" s="44">
        <v>45786</v>
      </c>
      <c r="K7" s="8">
        <f>L7-J7</f>
        <v>116</v>
      </c>
      <c r="L7" s="47">
        <v>45902</v>
      </c>
      <c r="M7" s="47"/>
      <c r="N7" s="8">
        <f t="shared" ref="N7:N39" si="0">O7-L7</f>
        <v>-45902</v>
      </c>
      <c r="O7" s="9"/>
      <c r="P7" s="8">
        <f>Q7-O7</f>
        <v>0</v>
      </c>
      <c r="Q7" s="9"/>
      <c r="R7" s="8">
        <f>S7-Q7</f>
        <v>0</v>
      </c>
      <c r="S7" s="9"/>
      <c r="T7" s="8">
        <f>U7-S7</f>
        <v>0</v>
      </c>
      <c r="U7" s="9"/>
      <c r="V7" s="8">
        <f>W7-U7</f>
        <v>0</v>
      </c>
      <c r="W7" s="9"/>
      <c r="X7" s="8">
        <f>Y7-W7</f>
        <v>0</v>
      </c>
      <c r="Y7" s="10"/>
    </row>
    <row r="8" spans="1:25" s="2" customFormat="1" ht="24.75" customHeight="1" thickBot="1" x14ac:dyDescent="0.25">
      <c r="A8" s="108"/>
      <c r="B8" s="21" t="s">
        <v>71</v>
      </c>
      <c r="C8" s="17">
        <v>34</v>
      </c>
      <c r="D8" s="29" t="s">
        <v>4</v>
      </c>
      <c r="E8" s="37">
        <v>34</v>
      </c>
      <c r="F8" s="38" t="s">
        <v>67</v>
      </c>
      <c r="G8" s="37">
        <v>34</v>
      </c>
      <c r="H8" s="38" t="s">
        <v>67</v>
      </c>
      <c r="I8" s="62">
        <v>410</v>
      </c>
      <c r="J8" s="23">
        <v>45792</v>
      </c>
      <c r="K8" s="8">
        <f t="shared" ref="K8:K67" si="1">L8-J8</f>
        <v>110</v>
      </c>
      <c r="L8" s="58">
        <v>45902</v>
      </c>
      <c r="M8" s="26"/>
      <c r="N8" s="8">
        <f t="shared" si="0"/>
        <v>-45902</v>
      </c>
      <c r="O8" s="12"/>
      <c r="P8" s="8">
        <f t="shared" ref="P8:R8" si="2">Q8-O8</f>
        <v>0</v>
      </c>
      <c r="Q8" s="12"/>
      <c r="R8" s="8">
        <f t="shared" si="2"/>
        <v>0</v>
      </c>
      <c r="S8" s="12"/>
      <c r="T8" s="8">
        <f t="shared" ref="T8:V8" si="3">U8-S8</f>
        <v>0</v>
      </c>
      <c r="U8" s="12"/>
      <c r="V8" s="8">
        <f t="shared" si="3"/>
        <v>0</v>
      </c>
      <c r="W8" s="12"/>
      <c r="X8" s="8">
        <f t="shared" ref="X8" si="4">Y8-W8</f>
        <v>0</v>
      </c>
      <c r="Y8" s="13"/>
    </row>
    <row r="9" spans="1:25" s="2" customFormat="1" ht="24.75" customHeight="1" thickBot="1" x14ac:dyDescent="0.25">
      <c r="A9" s="109"/>
      <c r="B9" s="21" t="s">
        <v>71</v>
      </c>
      <c r="C9" s="19">
        <v>35</v>
      </c>
      <c r="D9" s="30" t="s">
        <v>5</v>
      </c>
      <c r="E9" s="39">
        <v>35</v>
      </c>
      <c r="F9" s="40" t="s">
        <v>67</v>
      </c>
      <c r="G9" s="39">
        <v>35</v>
      </c>
      <c r="H9" s="40" t="s">
        <v>67</v>
      </c>
      <c r="I9" s="62">
        <v>410</v>
      </c>
      <c r="J9" s="46">
        <v>45912</v>
      </c>
      <c r="K9" s="8">
        <f t="shared" si="1"/>
        <v>-45912</v>
      </c>
      <c r="L9" s="14"/>
      <c r="M9" s="68"/>
      <c r="N9" s="8">
        <f t="shared" si="0"/>
        <v>0</v>
      </c>
      <c r="O9" s="14"/>
      <c r="P9" s="8">
        <f t="shared" ref="P9:R9" si="5">Q9-O9</f>
        <v>0</v>
      </c>
      <c r="Q9" s="14"/>
      <c r="R9" s="8">
        <f t="shared" si="5"/>
        <v>0</v>
      </c>
      <c r="S9" s="14"/>
      <c r="T9" s="8">
        <f t="shared" ref="T9:V9" si="6">U9-S9</f>
        <v>0</v>
      </c>
      <c r="U9" s="14"/>
      <c r="V9" s="8">
        <f t="shared" si="6"/>
        <v>0</v>
      </c>
      <c r="W9" s="14"/>
      <c r="X9" s="8">
        <f t="shared" ref="X9" si="7">Y9-W9</f>
        <v>0</v>
      </c>
      <c r="Y9" s="15"/>
    </row>
    <row r="10" spans="1:25" s="2" customFormat="1" ht="24.75" customHeight="1" thickBot="1" x14ac:dyDescent="0.25">
      <c r="A10" s="107" t="s">
        <v>6</v>
      </c>
      <c r="B10" s="21" t="s">
        <v>72</v>
      </c>
      <c r="C10" s="21">
        <v>14</v>
      </c>
      <c r="D10" s="28" t="s">
        <v>7</v>
      </c>
      <c r="E10" s="39">
        <v>14</v>
      </c>
      <c r="F10" s="40" t="s">
        <v>67</v>
      </c>
      <c r="G10" s="39">
        <v>14</v>
      </c>
      <c r="H10" s="40" t="s">
        <v>67</v>
      </c>
      <c r="I10" s="65">
        <v>420</v>
      </c>
      <c r="J10" s="83">
        <v>45631</v>
      </c>
      <c r="K10" s="60">
        <f t="shared" si="1"/>
        <v>281</v>
      </c>
      <c r="L10" s="84">
        <v>45912</v>
      </c>
      <c r="M10" s="113"/>
      <c r="N10" s="60">
        <f t="shared" si="0"/>
        <v>81</v>
      </c>
      <c r="O10" s="84">
        <v>45993</v>
      </c>
      <c r="P10" s="8">
        <f t="shared" ref="P10:R10" si="8">Q10-O10</f>
        <v>-45993</v>
      </c>
      <c r="Q10" s="9"/>
      <c r="R10" s="8">
        <f t="shared" si="8"/>
        <v>0</v>
      </c>
      <c r="S10" s="9"/>
      <c r="T10" s="8">
        <f t="shared" ref="T10:V10" si="9">U10-S10</f>
        <v>0</v>
      </c>
      <c r="U10" s="9"/>
      <c r="V10" s="8">
        <f t="shared" si="9"/>
        <v>0</v>
      </c>
      <c r="W10" s="9"/>
      <c r="X10" s="8">
        <f t="shared" ref="X10" si="10">Y10-W10</f>
        <v>0</v>
      </c>
      <c r="Y10" s="16"/>
    </row>
    <row r="11" spans="1:25" s="2" customFormat="1" ht="24.75" customHeight="1" thickBot="1" x14ac:dyDescent="0.25">
      <c r="A11" s="108"/>
      <c r="B11" s="21" t="s">
        <v>73</v>
      </c>
      <c r="C11" s="17">
        <v>37</v>
      </c>
      <c r="D11" s="29" t="s">
        <v>8</v>
      </c>
      <c r="E11" s="37">
        <v>37</v>
      </c>
      <c r="F11" s="38" t="s">
        <v>67</v>
      </c>
      <c r="G11" s="37">
        <v>37</v>
      </c>
      <c r="H11" s="38" t="s">
        <v>67</v>
      </c>
      <c r="I11" s="63">
        <v>450</v>
      </c>
      <c r="J11" s="59">
        <v>45738</v>
      </c>
      <c r="K11" s="60">
        <f t="shared" si="1"/>
        <v>96</v>
      </c>
      <c r="L11" s="61">
        <v>45834</v>
      </c>
      <c r="M11" s="74"/>
      <c r="N11" s="60">
        <f t="shared" si="0"/>
        <v>159</v>
      </c>
      <c r="O11" s="61">
        <v>45993</v>
      </c>
      <c r="P11" s="8">
        <f t="shared" ref="P11:R11" si="11">Q11-O11</f>
        <v>-45993</v>
      </c>
      <c r="Q11" s="12"/>
      <c r="R11" s="8">
        <f t="shared" si="11"/>
        <v>0</v>
      </c>
      <c r="S11" s="12"/>
      <c r="T11" s="8">
        <f t="shared" ref="T11:V11" si="12">U11-S11</f>
        <v>0</v>
      </c>
      <c r="U11" s="12"/>
      <c r="V11" s="8">
        <f t="shared" si="12"/>
        <v>0</v>
      </c>
      <c r="W11" s="12"/>
      <c r="X11" s="8">
        <f t="shared" ref="X11" si="13">Y11-W11</f>
        <v>0</v>
      </c>
      <c r="Y11" s="18"/>
    </row>
    <row r="12" spans="1:25" s="2" customFormat="1" ht="24.75" customHeight="1" thickBot="1" x14ac:dyDescent="0.25">
      <c r="A12" s="108"/>
      <c r="B12" s="21" t="s">
        <v>100</v>
      </c>
      <c r="C12" s="17">
        <v>1</v>
      </c>
      <c r="D12" s="29" t="s">
        <v>9</v>
      </c>
      <c r="E12" s="37">
        <v>1</v>
      </c>
      <c r="F12" s="38" t="s">
        <v>67</v>
      </c>
      <c r="G12" s="37">
        <v>1</v>
      </c>
      <c r="H12" s="38" t="s">
        <v>67</v>
      </c>
      <c r="I12" s="63">
        <v>450</v>
      </c>
      <c r="J12" s="78">
        <v>45629</v>
      </c>
      <c r="K12" s="79">
        <f t="shared" si="1"/>
        <v>69</v>
      </c>
      <c r="L12" s="80">
        <v>45698</v>
      </c>
      <c r="M12" s="81" t="s">
        <v>114</v>
      </c>
      <c r="N12" s="8">
        <f t="shared" si="0"/>
        <v>-45698</v>
      </c>
      <c r="O12" s="12"/>
      <c r="P12" s="8">
        <f t="shared" ref="P12:R12" si="14">Q12-O12</f>
        <v>0</v>
      </c>
      <c r="Q12" s="12"/>
      <c r="R12" s="8">
        <f t="shared" si="14"/>
        <v>0</v>
      </c>
      <c r="S12" s="12"/>
      <c r="T12" s="8">
        <f t="shared" ref="T12:V12" si="15">U12-S12</f>
        <v>0</v>
      </c>
      <c r="U12" s="12"/>
      <c r="V12" s="8">
        <f t="shared" si="15"/>
        <v>0</v>
      </c>
      <c r="W12" s="12"/>
      <c r="X12" s="8">
        <f t="shared" ref="X12" si="16">Y12-W12</f>
        <v>0</v>
      </c>
      <c r="Y12" s="18"/>
    </row>
    <row r="13" spans="1:25" s="2" customFormat="1" ht="24.75" customHeight="1" thickBot="1" x14ac:dyDescent="0.25">
      <c r="A13" s="108"/>
      <c r="B13" s="21" t="s">
        <v>101</v>
      </c>
      <c r="C13" s="17">
        <v>29</v>
      </c>
      <c r="D13" s="29">
        <v>1414116492</v>
      </c>
      <c r="E13" s="37">
        <v>29</v>
      </c>
      <c r="F13" s="38" t="s">
        <v>67</v>
      </c>
      <c r="G13" s="37">
        <v>29</v>
      </c>
      <c r="H13" s="38" t="s">
        <v>67</v>
      </c>
      <c r="I13" s="63">
        <v>450</v>
      </c>
      <c r="J13" s="59">
        <v>45691</v>
      </c>
      <c r="K13" s="60">
        <f t="shared" si="1"/>
        <v>141</v>
      </c>
      <c r="L13" s="61">
        <v>45832</v>
      </c>
      <c r="M13" s="26"/>
      <c r="N13" s="8">
        <f t="shared" si="0"/>
        <v>-45832</v>
      </c>
      <c r="O13" s="12"/>
      <c r="P13" s="8">
        <f t="shared" ref="P13:R13" si="17">Q13-O13</f>
        <v>0</v>
      </c>
      <c r="Q13" s="12"/>
      <c r="R13" s="8">
        <f t="shared" si="17"/>
        <v>0</v>
      </c>
      <c r="S13" s="12"/>
      <c r="T13" s="8">
        <f t="shared" ref="T13:V13" si="18">U13-S13</f>
        <v>0</v>
      </c>
      <c r="U13" s="12"/>
      <c r="V13" s="8">
        <f t="shared" si="18"/>
        <v>0</v>
      </c>
      <c r="W13" s="12"/>
      <c r="X13" s="8">
        <f t="shared" ref="X13" si="19">Y13-W13</f>
        <v>0</v>
      </c>
      <c r="Y13" s="18"/>
    </row>
    <row r="14" spans="1:25" s="2" customFormat="1" ht="24.75" customHeight="1" thickBot="1" x14ac:dyDescent="0.25">
      <c r="A14" s="108"/>
      <c r="B14" s="21" t="s">
        <v>107</v>
      </c>
      <c r="C14" s="17">
        <v>44</v>
      </c>
      <c r="D14" s="29" t="s">
        <v>10</v>
      </c>
      <c r="E14" s="37">
        <v>44</v>
      </c>
      <c r="F14" s="38" t="s">
        <v>67</v>
      </c>
      <c r="G14" s="37">
        <v>44</v>
      </c>
      <c r="H14" s="38" t="s">
        <v>67</v>
      </c>
      <c r="I14" s="63">
        <v>420</v>
      </c>
      <c r="J14" s="59">
        <v>45705</v>
      </c>
      <c r="K14" s="60">
        <f t="shared" si="1"/>
        <v>118</v>
      </c>
      <c r="L14" s="61">
        <v>45823</v>
      </c>
      <c r="M14" s="26"/>
      <c r="N14" s="8">
        <f t="shared" si="0"/>
        <v>-45823</v>
      </c>
      <c r="O14" s="12"/>
      <c r="P14" s="8">
        <f t="shared" ref="P14:R14" si="20">Q14-O14</f>
        <v>0</v>
      </c>
      <c r="Q14" s="12"/>
      <c r="R14" s="8">
        <f t="shared" si="20"/>
        <v>0</v>
      </c>
      <c r="S14" s="12"/>
      <c r="T14" s="8">
        <f t="shared" ref="T14:V14" si="21">U14-S14</f>
        <v>0</v>
      </c>
      <c r="U14" s="12"/>
      <c r="V14" s="8">
        <f t="shared" si="21"/>
        <v>0</v>
      </c>
      <c r="W14" s="12"/>
      <c r="X14" s="8">
        <f t="shared" ref="X14" si="22">Y14-W14</f>
        <v>0</v>
      </c>
      <c r="Y14" s="18"/>
    </row>
    <row r="15" spans="1:25" s="2" customFormat="1" ht="24.75" customHeight="1" thickBot="1" x14ac:dyDescent="0.25">
      <c r="A15" s="108"/>
      <c r="B15" s="21" t="s">
        <v>105</v>
      </c>
      <c r="C15" s="17">
        <v>52</v>
      </c>
      <c r="D15" s="29" t="s">
        <v>11</v>
      </c>
      <c r="E15" s="37">
        <v>52</v>
      </c>
      <c r="F15" s="38" t="s">
        <v>67</v>
      </c>
      <c r="G15" s="37">
        <v>52</v>
      </c>
      <c r="H15" s="38" t="s">
        <v>67</v>
      </c>
      <c r="I15" s="63">
        <v>380</v>
      </c>
      <c r="J15" s="59">
        <v>45741</v>
      </c>
      <c r="K15" s="60">
        <f t="shared" si="1"/>
        <v>84</v>
      </c>
      <c r="L15" s="61">
        <v>45825</v>
      </c>
      <c r="M15" s="26"/>
      <c r="N15" s="8">
        <f t="shared" si="0"/>
        <v>-45825</v>
      </c>
      <c r="O15" s="12"/>
      <c r="P15" s="8">
        <f t="shared" ref="P15:R15" si="23">Q15-O15</f>
        <v>0</v>
      </c>
      <c r="Q15" s="12"/>
      <c r="R15" s="8">
        <f t="shared" si="23"/>
        <v>0</v>
      </c>
      <c r="S15" s="12"/>
      <c r="T15" s="8">
        <f t="shared" ref="T15:V15" si="24">U15-S15</f>
        <v>0</v>
      </c>
      <c r="U15" s="12"/>
      <c r="V15" s="8">
        <f t="shared" si="24"/>
        <v>0</v>
      </c>
      <c r="W15" s="12"/>
      <c r="X15" s="8">
        <f t="shared" ref="X15" si="25">Y15-W15</f>
        <v>0</v>
      </c>
      <c r="Y15" s="18"/>
    </row>
    <row r="16" spans="1:25" s="2" customFormat="1" ht="24.75" customHeight="1" thickBot="1" x14ac:dyDescent="0.25">
      <c r="A16" s="108"/>
      <c r="B16" s="21" t="s">
        <v>103</v>
      </c>
      <c r="C16" s="17">
        <v>23</v>
      </c>
      <c r="D16" s="29" t="s">
        <v>12</v>
      </c>
      <c r="E16" s="37">
        <v>23</v>
      </c>
      <c r="F16" s="38" t="s">
        <v>67</v>
      </c>
      <c r="G16" s="37">
        <v>23</v>
      </c>
      <c r="H16" s="38" t="s">
        <v>67</v>
      </c>
      <c r="I16" s="63">
        <v>450</v>
      </c>
      <c r="J16" s="59">
        <v>45760</v>
      </c>
      <c r="K16" s="60">
        <f t="shared" si="1"/>
        <v>67</v>
      </c>
      <c r="L16" s="61">
        <v>45827</v>
      </c>
      <c r="M16" s="26"/>
      <c r="N16" s="8">
        <f t="shared" si="0"/>
        <v>-45827</v>
      </c>
      <c r="O16" s="12"/>
      <c r="P16" s="8">
        <f t="shared" ref="P16:R16" si="26">Q16-O16</f>
        <v>0</v>
      </c>
      <c r="Q16" s="12"/>
      <c r="R16" s="8">
        <f t="shared" si="26"/>
        <v>0</v>
      </c>
      <c r="S16" s="12"/>
      <c r="T16" s="8">
        <f t="shared" ref="T16:V16" si="27">U16-S16</f>
        <v>0</v>
      </c>
      <c r="U16" s="12"/>
      <c r="V16" s="8">
        <f t="shared" si="27"/>
        <v>0</v>
      </c>
      <c r="W16" s="12"/>
      <c r="X16" s="8">
        <f t="shared" ref="X16" si="28">Y16-W16</f>
        <v>0</v>
      </c>
      <c r="Y16" s="18"/>
    </row>
    <row r="17" spans="1:25" s="2" customFormat="1" ht="24.75" customHeight="1" thickBot="1" x14ac:dyDescent="0.25">
      <c r="A17" s="108"/>
      <c r="B17" s="21" t="s">
        <v>104</v>
      </c>
      <c r="C17" s="17">
        <v>50</v>
      </c>
      <c r="D17" s="29" t="s">
        <v>13</v>
      </c>
      <c r="E17" s="37">
        <v>50</v>
      </c>
      <c r="F17" s="38" t="s">
        <v>67</v>
      </c>
      <c r="G17" s="37">
        <v>50</v>
      </c>
      <c r="H17" s="38" t="s">
        <v>67</v>
      </c>
      <c r="I17" s="63">
        <v>450</v>
      </c>
      <c r="J17" s="59">
        <v>45632</v>
      </c>
      <c r="K17" s="60">
        <f t="shared" si="1"/>
        <v>198</v>
      </c>
      <c r="L17" s="61">
        <v>45830</v>
      </c>
      <c r="M17" s="26"/>
      <c r="N17" s="8">
        <f t="shared" si="0"/>
        <v>-45830</v>
      </c>
      <c r="O17" s="12"/>
      <c r="P17" s="8">
        <f t="shared" ref="P17:R17" si="29">Q17-O17</f>
        <v>0</v>
      </c>
      <c r="Q17" s="12"/>
      <c r="R17" s="8">
        <f t="shared" si="29"/>
        <v>0</v>
      </c>
      <c r="S17" s="12"/>
      <c r="T17" s="8">
        <f t="shared" ref="T17:V17" si="30">U17-S17</f>
        <v>0</v>
      </c>
      <c r="U17" s="12"/>
      <c r="V17" s="8">
        <f t="shared" si="30"/>
        <v>0</v>
      </c>
      <c r="W17" s="12"/>
      <c r="X17" s="8">
        <f t="shared" ref="X17" si="31">Y17-W17</f>
        <v>0</v>
      </c>
      <c r="Y17" s="18"/>
    </row>
    <row r="18" spans="1:25" s="2" customFormat="1" ht="24.75" customHeight="1" thickBot="1" x14ac:dyDescent="0.25">
      <c r="A18" s="108"/>
      <c r="B18" s="21" t="s">
        <v>108</v>
      </c>
      <c r="C18" s="17">
        <v>40</v>
      </c>
      <c r="D18" s="29" t="s">
        <v>14</v>
      </c>
      <c r="E18" s="37">
        <v>40</v>
      </c>
      <c r="F18" s="38" t="s">
        <v>67</v>
      </c>
      <c r="G18" s="37">
        <v>40</v>
      </c>
      <c r="H18" s="38" t="s">
        <v>67</v>
      </c>
      <c r="I18" s="63">
        <v>400</v>
      </c>
      <c r="J18" s="23">
        <v>45610</v>
      </c>
      <c r="K18" s="8">
        <f>L18-J18</f>
        <v>-45610</v>
      </c>
      <c r="L18" s="12"/>
      <c r="M18" s="26"/>
      <c r="N18" s="8">
        <f t="shared" si="0"/>
        <v>0</v>
      </c>
      <c r="O18" s="12"/>
      <c r="P18" s="8">
        <f>Q18-O18</f>
        <v>0</v>
      </c>
      <c r="Q18" s="12"/>
      <c r="R18" s="8">
        <f>S18-Q18</f>
        <v>0</v>
      </c>
      <c r="S18" s="12"/>
      <c r="T18" s="8">
        <f>U18-S18</f>
        <v>0</v>
      </c>
      <c r="U18" s="12"/>
      <c r="V18" s="8">
        <f>W18-U18</f>
        <v>0</v>
      </c>
      <c r="W18" s="12"/>
      <c r="X18" s="8">
        <f>Y18-W18</f>
        <v>0</v>
      </c>
      <c r="Y18" s="18"/>
    </row>
    <row r="19" spans="1:25" s="2" customFormat="1" ht="24.75" customHeight="1" thickBot="1" x14ac:dyDescent="0.25">
      <c r="A19" s="108"/>
      <c r="B19" s="21" t="s">
        <v>109</v>
      </c>
      <c r="C19" s="17">
        <v>54</v>
      </c>
      <c r="D19" s="29" t="s">
        <v>15</v>
      </c>
      <c r="E19" s="37">
        <v>54</v>
      </c>
      <c r="F19" s="38" t="s">
        <v>67</v>
      </c>
      <c r="G19" s="37">
        <v>54</v>
      </c>
      <c r="H19" s="38" t="s">
        <v>67</v>
      </c>
      <c r="I19" s="63">
        <v>410</v>
      </c>
      <c r="J19" s="78">
        <v>45621</v>
      </c>
      <c r="K19" s="79">
        <f t="shared" si="1"/>
        <v>70</v>
      </c>
      <c r="L19" s="80">
        <v>45691</v>
      </c>
      <c r="M19" s="72" t="s">
        <v>99</v>
      </c>
      <c r="N19" s="8">
        <f t="shared" si="0"/>
        <v>-45691</v>
      </c>
      <c r="O19" s="12"/>
      <c r="P19" s="8">
        <f t="shared" ref="P19:R19" si="32">Q19-O19</f>
        <v>0</v>
      </c>
      <c r="Q19" s="12"/>
      <c r="R19" s="8">
        <f t="shared" si="32"/>
        <v>0</v>
      </c>
      <c r="S19" s="12"/>
      <c r="T19" s="8">
        <f t="shared" ref="T19:V19" si="33">U19-S19</f>
        <v>0</v>
      </c>
      <c r="U19" s="12"/>
      <c r="V19" s="8">
        <f t="shared" si="33"/>
        <v>0</v>
      </c>
      <c r="W19" s="12"/>
      <c r="X19" s="8">
        <f t="shared" ref="X19" si="34">Y19-W19</f>
        <v>0</v>
      </c>
      <c r="Y19" s="18"/>
    </row>
    <row r="20" spans="1:25" s="2" customFormat="1" ht="24.75" customHeight="1" thickBot="1" x14ac:dyDescent="0.25">
      <c r="A20" s="108"/>
      <c r="B20" s="21" t="s">
        <v>110</v>
      </c>
      <c r="C20" s="17">
        <v>43</v>
      </c>
      <c r="D20" s="29" t="s">
        <v>16</v>
      </c>
      <c r="E20" s="37">
        <v>43</v>
      </c>
      <c r="F20" s="38" t="s">
        <v>67</v>
      </c>
      <c r="G20" s="37">
        <v>43</v>
      </c>
      <c r="H20" s="38" t="s">
        <v>67</v>
      </c>
      <c r="I20" s="63">
        <v>420</v>
      </c>
      <c r="J20" s="11"/>
      <c r="K20" s="8">
        <f t="shared" si="1"/>
        <v>0</v>
      </c>
      <c r="L20" s="12"/>
      <c r="M20" s="26"/>
      <c r="N20" s="8">
        <f t="shared" si="0"/>
        <v>0</v>
      </c>
      <c r="O20" s="12"/>
      <c r="P20" s="8">
        <f t="shared" ref="P20:R20" si="35">Q20-O20</f>
        <v>0</v>
      </c>
      <c r="Q20" s="12"/>
      <c r="R20" s="8">
        <f t="shared" si="35"/>
        <v>0</v>
      </c>
      <c r="S20" s="12"/>
      <c r="T20" s="8">
        <f t="shared" ref="T20:V20" si="36">U20-S20</f>
        <v>0</v>
      </c>
      <c r="U20" s="12"/>
      <c r="V20" s="8">
        <f t="shared" si="36"/>
        <v>0</v>
      </c>
      <c r="W20" s="12"/>
      <c r="X20" s="8">
        <f t="shared" ref="X20" si="37">Y20-W20</f>
        <v>0</v>
      </c>
      <c r="Y20" s="18"/>
    </row>
    <row r="21" spans="1:25" s="2" customFormat="1" ht="24.75" customHeight="1" thickBot="1" x14ac:dyDescent="0.25">
      <c r="A21" s="108"/>
      <c r="B21" s="21" t="s">
        <v>102</v>
      </c>
      <c r="C21" s="17">
        <v>30</v>
      </c>
      <c r="D21" s="29" t="s">
        <v>17</v>
      </c>
      <c r="E21" s="37">
        <v>30</v>
      </c>
      <c r="F21" s="38" t="s">
        <v>67</v>
      </c>
      <c r="G21" s="37">
        <v>30</v>
      </c>
      <c r="H21" s="38" t="s">
        <v>67</v>
      </c>
      <c r="I21" s="63">
        <v>450</v>
      </c>
      <c r="J21" s="59">
        <v>45730</v>
      </c>
      <c r="K21" s="60">
        <f t="shared" si="1"/>
        <v>104</v>
      </c>
      <c r="L21" s="61">
        <v>45834</v>
      </c>
      <c r="M21" s="26"/>
      <c r="N21" s="8">
        <f t="shared" si="0"/>
        <v>-45834</v>
      </c>
      <c r="O21" s="12"/>
      <c r="P21" s="8">
        <f t="shared" ref="P21:R21" si="38">Q21-O21</f>
        <v>0</v>
      </c>
      <c r="Q21" s="12"/>
      <c r="R21" s="8">
        <f t="shared" si="38"/>
        <v>0</v>
      </c>
      <c r="S21" s="12"/>
      <c r="T21" s="8">
        <f t="shared" ref="T21:V21" si="39">U21-S21</f>
        <v>0</v>
      </c>
      <c r="U21" s="12"/>
      <c r="V21" s="8">
        <f t="shared" si="39"/>
        <v>0</v>
      </c>
      <c r="W21" s="12"/>
      <c r="X21" s="8">
        <f t="shared" ref="X21" si="40">Y21-W21</f>
        <v>0</v>
      </c>
      <c r="Y21" s="18"/>
    </row>
    <row r="22" spans="1:25" s="2" customFormat="1" ht="24.75" customHeight="1" thickBot="1" x14ac:dyDescent="0.25">
      <c r="A22" s="108"/>
      <c r="B22" s="21" t="s">
        <v>72</v>
      </c>
      <c r="C22" s="17">
        <v>3</v>
      </c>
      <c r="D22" s="29" t="s">
        <v>18</v>
      </c>
      <c r="E22" s="37">
        <v>3</v>
      </c>
      <c r="F22" s="38" t="s">
        <v>67</v>
      </c>
      <c r="G22" s="37">
        <v>3</v>
      </c>
      <c r="H22" s="38" t="s">
        <v>67</v>
      </c>
      <c r="I22" s="63">
        <v>450</v>
      </c>
      <c r="J22" s="59">
        <v>45631</v>
      </c>
      <c r="K22" s="60">
        <f t="shared" si="1"/>
        <v>195</v>
      </c>
      <c r="L22" s="61">
        <v>45826</v>
      </c>
      <c r="M22" s="26"/>
      <c r="N22" s="8">
        <f t="shared" si="0"/>
        <v>-45826</v>
      </c>
      <c r="O22" s="12"/>
      <c r="P22" s="8">
        <f t="shared" ref="P22:R22" si="41">Q22-O22</f>
        <v>0</v>
      </c>
      <c r="Q22" s="12"/>
      <c r="R22" s="8">
        <f t="shared" si="41"/>
        <v>0</v>
      </c>
      <c r="S22" s="12"/>
      <c r="T22" s="8">
        <f t="shared" ref="T22:V22" si="42">U22-S22</f>
        <v>0</v>
      </c>
      <c r="U22" s="12"/>
      <c r="V22" s="8">
        <f t="shared" si="42"/>
        <v>0</v>
      </c>
      <c r="W22" s="12"/>
      <c r="X22" s="8">
        <f t="shared" ref="X22" si="43">Y22-W22</f>
        <v>0</v>
      </c>
      <c r="Y22" s="18"/>
    </row>
    <row r="23" spans="1:25" s="2" customFormat="1" ht="24.75" customHeight="1" thickBot="1" x14ac:dyDescent="0.25">
      <c r="A23" s="108"/>
      <c r="B23" s="21" t="s">
        <v>106</v>
      </c>
      <c r="C23" s="17">
        <v>32</v>
      </c>
      <c r="D23" s="29" t="s">
        <v>19</v>
      </c>
      <c r="E23" s="37">
        <v>32</v>
      </c>
      <c r="F23" s="38" t="s">
        <v>67</v>
      </c>
      <c r="G23" s="37">
        <v>32</v>
      </c>
      <c r="H23" s="38" t="s">
        <v>67</v>
      </c>
      <c r="I23" s="63">
        <v>450</v>
      </c>
      <c r="J23" s="11"/>
      <c r="K23" s="8">
        <f t="shared" si="1"/>
        <v>0</v>
      </c>
      <c r="L23" s="12"/>
      <c r="M23" s="26"/>
      <c r="N23" s="8">
        <f t="shared" si="0"/>
        <v>0</v>
      </c>
      <c r="O23" s="12"/>
      <c r="P23" s="8">
        <f t="shared" ref="P23:R23" si="44">Q23-O23</f>
        <v>0</v>
      </c>
      <c r="Q23" s="12"/>
      <c r="R23" s="8">
        <f t="shared" si="44"/>
        <v>0</v>
      </c>
      <c r="S23" s="12"/>
      <c r="T23" s="8">
        <f t="shared" ref="T23:V23" si="45">U23-S23</f>
        <v>0</v>
      </c>
      <c r="U23" s="12"/>
      <c r="V23" s="8">
        <f t="shared" si="45"/>
        <v>0</v>
      </c>
      <c r="W23" s="12"/>
      <c r="X23" s="8">
        <f t="shared" ref="X23" si="46">Y23-W23</f>
        <v>0</v>
      </c>
      <c r="Y23" s="18"/>
    </row>
    <row r="24" spans="1:25" s="2" customFormat="1" ht="24.75" customHeight="1" thickBot="1" x14ac:dyDescent="0.25">
      <c r="A24" s="108"/>
      <c r="B24" s="21" t="s">
        <v>113</v>
      </c>
      <c r="C24" s="17">
        <v>2</v>
      </c>
      <c r="D24" s="29" t="s">
        <v>20</v>
      </c>
      <c r="E24" s="43">
        <v>2</v>
      </c>
      <c r="F24" s="38" t="s">
        <v>67</v>
      </c>
      <c r="G24" s="37">
        <v>2</v>
      </c>
      <c r="H24" s="38" t="s">
        <v>67</v>
      </c>
      <c r="I24" s="63">
        <v>450</v>
      </c>
      <c r="J24" s="23">
        <v>45723</v>
      </c>
      <c r="K24" s="8">
        <f t="shared" si="1"/>
        <v>-45723</v>
      </c>
      <c r="L24" s="12"/>
      <c r="M24" s="26"/>
      <c r="N24" s="8">
        <f t="shared" si="0"/>
        <v>0</v>
      </c>
      <c r="O24" s="12"/>
      <c r="P24" s="8">
        <f t="shared" ref="P24:R24" si="47">Q24-O24</f>
        <v>0</v>
      </c>
      <c r="Q24" s="12"/>
      <c r="R24" s="8">
        <f t="shared" si="47"/>
        <v>0</v>
      </c>
      <c r="S24" s="12"/>
      <c r="T24" s="8">
        <f t="shared" ref="T24:V24" si="48">U24-S24</f>
        <v>0</v>
      </c>
      <c r="U24" s="12"/>
      <c r="V24" s="8">
        <f t="shared" si="48"/>
        <v>0</v>
      </c>
      <c r="W24" s="12"/>
      <c r="X24" s="8">
        <f t="shared" ref="X24" si="49">Y24-W24</f>
        <v>0</v>
      </c>
      <c r="Y24" s="18"/>
    </row>
    <row r="25" spans="1:25" s="2" customFormat="1" ht="24.75" customHeight="1" thickBot="1" x14ac:dyDescent="0.25">
      <c r="A25" s="108"/>
      <c r="B25" s="21" t="s">
        <v>111</v>
      </c>
      <c r="C25" s="17">
        <v>57</v>
      </c>
      <c r="D25" s="29">
        <v>15636211969</v>
      </c>
      <c r="E25" s="37">
        <v>57</v>
      </c>
      <c r="F25" s="38" t="s">
        <v>67</v>
      </c>
      <c r="G25" s="37">
        <v>57</v>
      </c>
      <c r="H25" s="38" t="s">
        <v>67</v>
      </c>
      <c r="I25" s="63">
        <v>450</v>
      </c>
      <c r="J25" s="11"/>
      <c r="K25" s="8">
        <f t="shared" si="1"/>
        <v>0</v>
      </c>
      <c r="L25" s="12"/>
      <c r="M25" s="26"/>
      <c r="N25" s="8">
        <f t="shared" si="0"/>
        <v>0</v>
      </c>
      <c r="O25" s="12"/>
      <c r="P25" s="8">
        <f t="shared" ref="P25:R25" si="50">Q25-O25</f>
        <v>0</v>
      </c>
      <c r="Q25" s="12"/>
      <c r="R25" s="8">
        <f t="shared" si="50"/>
        <v>0</v>
      </c>
      <c r="S25" s="12"/>
      <c r="T25" s="8">
        <f t="shared" ref="T25:V25" si="51">U25-S25</f>
        <v>0</v>
      </c>
      <c r="U25" s="12"/>
      <c r="V25" s="8">
        <f t="shared" si="51"/>
        <v>0</v>
      </c>
      <c r="W25" s="12"/>
      <c r="X25" s="8">
        <f t="shared" ref="X25" si="52">Y25-W25</f>
        <v>0</v>
      </c>
      <c r="Y25" s="18"/>
    </row>
    <row r="26" spans="1:25" s="2" customFormat="1" ht="24.75" customHeight="1" thickBot="1" x14ac:dyDescent="0.25">
      <c r="A26" s="108"/>
      <c r="B26" s="21" t="s">
        <v>73</v>
      </c>
      <c r="C26" s="17">
        <v>28</v>
      </c>
      <c r="D26" s="29" t="s">
        <v>21</v>
      </c>
      <c r="E26" s="37">
        <v>28</v>
      </c>
      <c r="F26" s="38" t="s">
        <v>67</v>
      </c>
      <c r="G26" s="37">
        <v>28</v>
      </c>
      <c r="H26" s="38" t="s">
        <v>67</v>
      </c>
      <c r="I26" s="63">
        <v>450</v>
      </c>
      <c r="J26" s="23">
        <v>45993</v>
      </c>
      <c r="K26" s="8">
        <f t="shared" si="1"/>
        <v>-45993</v>
      </c>
      <c r="L26" s="12"/>
      <c r="M26" s="26"/>
      <c r="N26" s="8">
        <f t="shared" si="0"/>
        <v>0</v>
      </c>
      <c r="O26" s="12"/>
      <c r="P26" s="8">
        <f t="shared" ref="P26:R26" si="53">Q26-O26</f>
        <v>0</v>
      </c>
      <c r="Q26" s="12"/>
      <c r="R26" s="8">
        <f t="shared" si="53"/>
        <v>0</v>
      </c>
      <c r="S26" s="12"/>
      <c r="T26" s="8">
        <f t="shared" ref="T26:V26" si="54">U26-S26</f>
        <v>0</v>
      </c>
      <c r="U26" s="12"/>
      <c r="V26" s="8">
        <f t="shared" si="54"/>
        <v>0</v>
      </c>
      <c r="W26" s="12"/>
      <c r="X26" s="8">
        <f t="shared" ref="X26" si="55">Y26-W26</f>
        <v>0</v>
      </c>
      <c r="Y26" s="18"/>
    </row>
    <row r="27" spans="1:25" s="2" customFormat="1" ht="24.75" customHeight="1" thickBot="1" x14ac:dyDescent="0.25">
      <c r="A27" s="108"/>
      <c r="B27" s="21" t="s">
        <v>112</v>
      </c>
      <c r="C27" s="17">
        <v>20</v>
      </c>
      <c r="D27" s="29" t="s">
        <v>22</v>
      </c>
      <c r="E27" s="37">
        <v>20</v>
      </c>
      <c r="F27" s="38" t="s">
        <v>67</v>
      </c>
      <c r="G27" s="37">
        <v>20</v>
      </c>
      <c r="H27" s="38" t="s">
        <v>67</v>
      </c>
      <c r="I27" s="63">
        <v>420</v>
      </c>
      <c r="J27" s="11"/>
      <c r="K27" s="8">
        <f>L27-J27</f>
        <v>0</v>
      </c>
      <c r="L27" s="12"/>
      <c r="M27" s="26"/>
      <c r="N27" s="8">
        <f t="shared" si="0"/>
        <v>0</v>
      </c>
      <c r="O27" s="12"/>
      <c r="P27" s="8">
        <f>Q27-O27</f>
        <v>0</v>
      </c>
      <c r="Q27" s="12"/>
      <c r="R27" s="8">
        <f>S27-Q27</f>
        <v>0</v>
      </c>
      <c r="S27" s="12"/>
      <c r="T27" s="8">
        <f>U27-S27</f>
        <v>0</v>
      </c>
      <c r="U27" s="12"/>
      <c r="V27" s="8">
        <f>W27-U27</f>
        <v>0</v>
      </c>
      <c r="W27" s="12"/>
      <c r="X27" s="8">
        <f>Y27-W27</f>
        <v>0</v>
      </c>
      <c r="Y27" s="18"/>
    </row>
    <row r="28" spans="1:25" s="2" customFormat="1" ht="24.75" customHeight="1" thickBot="1" x14ac:dyDescent="0.25">
      <c r="A28" s="108"/>
      <c r="B28" s="21" t="s">
        <v>71</v>
      </c>
      <c r="C28" s="17">
        <v>11</v>
      </c>
      <c r="D28" s="29" t="s">
        <v>23</v>
      </c>
      <c r="E28" s="37">
        <v>11</v>
      </c>
      <c r="F28" s="38" t="s">
        <v>67</v>
      </c>
      <c r="G28" s="37">
        <v>11</v>
      </c>
      <c r="H28" s="38" t="s">
        <v>67</v>
      </c>
      <c r="I28" s="63">
        <v>410</v>
      </c>
      <c r="J28" s="23">
        <v>45650</v>
      </c>
      <c r="K28" s="8">
        <f t="shared" si="1"/>
        <v>-45650</v>
      </c>
      <c r="L28" s="12"/>
      <c r="M28" s="26"/>
      <c r="N28" s="8">
        <f t="shared" si="0"/>
        <v>0</v>
      </c>
      <c r="O28" s="12"/>
      <c r="P28" s="8">
        <f t="shared" ref="P28:R28" si="56">Q28-O28</f>
        <v>0</v>
      </c>
      <c r="Q28" s="12"/>
      <c r="R28" s="8">
        <f t="shared" si="56"/>
        <v>0</v>
      </c>
      <c r="S28" s="12"/>
      <c r="T28" s="8">
        <f t="shared" ref="T28:V28" si="57">U28-S28</f>
        <v>0</v>
      </c>
      <c r="U28" s="12"/>
      <c r="V28" s="8">
        <f t="shared" si="57"/>
        <v>0</v>
      </c>
      <c r="W28" s="12"/>
      <c r="X28" s="8">
        <f t="shared" ref="X28" si="58">Y28-W28</f>
        <v>0</v>
      </c>
      <c r="Y28" s="18"/>
    </row>
    <row r="29" spans="1:25" s="2" customFormat="1" ht="24.75" customHeight="1" thickBot="1" x14ac:dyDescent="0.25">
      <c r="A29" s="108"/>
      <c r="B29" s="21" t="s">
        <v>73</v>
      </c>
      <c r="C29" s="17"/>
      <c r="D29" s="29" t="s">
        <v>116</v>
      </c>
      <c r="E29" s="37">
        <v>9</v>
      </c>
      <c r="F29" s="38" t="s">
        <v>117</v>
      </c>
      <c r="G29" s="37">
        <v>9</v>
      </c>
      <c r="H29" s="38" t="s">
        <v>117</v>
      </c>
      <c r="I29" s="63">
        <v>450</v>
      </c>
      <c r="J29" s="23">
        <v>45723</v>
      </c>
      <c r="K29" s="8">
        <f t="shared" si="1"/>
        <v>-45723</v>
      </c>
      <c r="L29" s="12"/>
      <c r="M29" s="26"/>
      <c r="N29" s="8"/>
      <c r="O29" s="12"/>
      <c r="P29" s="8"/>
      <c r="Q29" s="12"/>
      <c r="R29" s="8"/>
      <c r="S29" s="12"/>
      <c r="T29" s="8"/>
      <c r="U29" s="12"/>
      <c r="V29" s="8"/>
      <c r="W29" s="12"/>
      <c r="X29" s="8"/>
      <c r="Y29" s="18"/>
    </row>
    <row r="30" spans="1:25" s="2" customFormat="1" ht="24.75" customHeight="1" thickBot="1" x14ac:dyDescent="0.25">
      <c r="A30" s="108"/>
      <c r="B30" s="21" t="s">
        <v>73</v>
      </c>
      <c r="C30" s="17">
        <v>47</v>
      </c>
      <c r="D30" s="29" t="s">
        <v>24</v>
      </c>
      <c r="E30" s="37">
        <v>47</v>
      </c>
      <c r="F30" s="38" t="s">
        <v>67</v>
      </c>
      <c r="G30" s="37">
        <v>47</v>
      </c>
      <c r="H30" s="38" t="s">
        <v>67</v>
      </c>
      <c r="I30" s="63">
        <v>450</v>
      </c>
      <c r="J30" s="11"/>
      <c r="K30" s="8">
        <f t="shared" si="1"/>
        <v>0</v>
      </c>
      <c r="L30" s="12"/>
      <c r="M30" s="26"/>
      <c r="N30" s="8">
        <f t="shared" si="0"/>
        <v>0</v>
      </c>
      <c r="O30" s="12"/>
      <c r="P30" s="8">
        <f t="shared" ref="P30:R30" si="59">Q30-O30</f>
        <v>0</v>
      </c>
      <c r="Q30" s="12"/>
      <c r="R30" s="8">
        <f t="shared" si="59"/>
        <v>0</v>
      </c>
      <c r="S30" s="12"/>
      <c r="T30" s="8">
        <f t="shared" ref="T30:V30" si="60">U30-S30</f>
        <v>0</v>
      </c>
      <c r="U30" s="12"/>
      <c r="V30" s="8">
        <f t="shared" si="60"/>
        <v>0</v>
      </c>
      <c r="W30" s="12"/>
      <c r="X30" s="8">
        <f t="shared" ref="X30" si="61">Y30-W30</f>
        <v>0</v>
      </c>
      <c r="Y30" s="18"/>
    </row>
    <row r="31" spans="1:25" s="2" customFormat="1" ht="24.75" customHeight="1" thickBot="1" x14ac:dyDescent="0.25">
      <c r="A31" s="108"/>
      <c r="B31" s="21" t="s">
        <v>71</v>
      </c>
      <c r="C31" s="17">
        <v>31</v>
      </c>
      <c r="D31" s="29">
        <v>15630191661</v>
      </c>
      <c r="E31" s="37">
        <v>31</v>
      </c>
      <c r="F31" s="38" t="s">
        <v>67</v>
      </c>
      <c r="G31" s="37">
        <v>31</v>
      </c>
      <c r="H31" s="38" t="s">
        <v>67</v>
      </c>
      <c r="I31" s="63">
        <v>410</v>
      </c>
      <c r="J31" s="11"/>
      <c r="K31" s="8">
        <f t="shared" si="1"/>
        <v>0</v>
      </c>
      <c r="L31" s="12"/>
      <c r="M31" s="26"/>
      <c r="N31" s="8">
        <f t="shared" si="0"/>
        <v>0</v>
      </c>
      <c r="O31" s="12"/>
      <c r="P31" s="8">
        <f t="shared" ref="P31:R31" si="62">Q31-O31</f>
        <v>0</v>
      </c>
      <c r="Q31" s="12"/>
      <c r="R31" s="8">
        <f t="shared" si="62"/>
        <v>0</v>
      </c>
      <c r="S31" s="12"/>
      <c r="T31" s="8">
        <f t="shared" ref="T31:V31" si="63">U31-S31</f>
        <v>0</v>
      </c>
      <c r="U31" s="12"/>
      <c r="V31" s="8">
        <f t="shared" si="63"/>
        <v>0</v>
      </c>
      <c r="W31" s="12"/>
      <c r="X31" s="8">
        <f t="shared" ref="X31" si="64">Y31-W31</f>
        <v>0</v>
      </c>
      <c r="Y31" s="18"/>
    </row>
    <row r="32" spans="1:25" s="2" customFormat="1" ht="24.75" customHeight="1" thickBot="1" x14ac:dyDescent="0.25">
      <c r="A32" s="108"/>
      <c r="B32" s="21" t="s">
        <v>71</v>
      </c>
      <c r="C32" s="17">
        <v>39</v>
      </c>
      <c r="D32" s="29" t="s">
        <v>25</v>
      </c>
      <c r="E32" s="37">
        <v>39</v>
      </c>
      <c r="F32" s="38" t="s">
        <v>67</v>
      </c>
      <c r="G32" s="37">
        <v>39</v>
      </c>
      <c r="H32" s="38" t="s">
        <v>67</v>
      </c>
      <c r="I32" s="63">
        <v>410</v>
      </c>
      <c r="J32" s="11"/>
      <c r="K32" s="8">
        <f t="shared" si="1"/>
        <v>0</v>
      </c>
      <c r="L32" s="12"/>
      <c r="M32" s="26"/>
      <c r="N32" s="8">
        <f t="shared" si="0"/>
        <v>0</v>
      </c>
      <c r="O32" s="12"/>
      <c r="P32" s="8">
        <f t="shared" ref="P32:R32" si="65">Q32-O32</f>
        <v>0</v>
      </c>
      <c r="Q32" s="12"/>
      <c r="R32" s="8">
        <f t="shared" si="65"/>
        <v>0</v>
      </c>
      <c r="S32" s="12"/>
      <c r="T32" s="8">
        <f t="shared" ref="T32:V32" si="66">U32-S32</f>
        <v>0</v>
      </c>
      <c r="U32" s="12"/>
      <c r="V32" s="8">
        <f t="shared" si="66"/>
        <v>0</v>
      </c>
      <c r="W32" s="12"/>
      <c r="X32" s="8">
        <f t="shared" ref="X32" si="67">Y32-W32</f>
        <v>0</v>
      </c>
      <c r="Y32" s="18"/>
    </row>
    <row r="33" spans="1:25" s="2" customFormat="1" ht="24.75" customHeight="1" thickBot="1" x14ac:dyDescent="0.25">
      <c r="A33" s="108"/>
      <c r="B33" s="21" t="s">
        <v>71</v>
      </c>
      <c r="C33" s="17">
        <v>16</v>
      </c>
      <c r="D33" s="29" t="s">
        <v>26</v>
      </c>
      <c r="E33" s="37">
        <v>16</v>
      </c>
      <c r="F33" s="38" t="s">
        <v>67</v>
      </c>
      <c r="G33" s="37">
        <v>16</v>
      </c>
      <c r="H33" s="38" t="s">
        <v>67</v>
      </c>
      <c r="I33" s="63">
        <v>450</v>
      </c>
      <c r="J33" s="11"/>
      <c r="K33" s="8">
        <f t="shared" si="1"/>
        <v>0</v>
      </c>
      <c r="L33" s="12"/>
      <c r="M33" s="26"/>
      <c r="N33" s="8">
        <f t="shared" si="0"/>
        <v>0</v>
      </c>
      <c r="O33" s="12"/>
      <c r="P33" s="8">
        <f t="shared" ref="P33:R33" si="68">Q33-O33</f>
        <v>0</v>
      </c>
      <c r="Q33" s="12"/>
      <c r="R33" s="8">
        <f t="shared" si="68"/>
        <v>0</v>
      </c>
      <c r="S33" s="12"/>
      <c r="T33" s="8">
        <f t="shared" ref="T33:V33" si="69">U33-S33</f>
        <v>0</v>
      </c>
      <c r="U33" s="12"/>
      <c r="V33" s="8">
        <f t="shared" si="69"/>
        <v>0</v>
      </c>
      <c r="W33" s="12"/>
      <c r="X33" s="8">
        <f t="shared" ref="X33" si="70">Y33-W33</f>
        <v>0</v>
      </c>
      <c r="Y33" s="18"/>
    </row>
    <row r="34" spans="1:25" s="2" customFormat="1" ht="24.75" customHeight="1" thickBot="1" x14ac:dyDescent="0.25">
      <c r="A34" s="108"/>
      <c r="B34" s="21" t="s">
        <v>73</v>
      </c>
      <c r="C34" s="17">
        <v>51</v>
      </c>
      <c r="D34" s="31" t="s">
        <v>27</v>
      </c>
      <c r="E34" s="37">
        <v>51</v>
      </c>
      <c r="F34" s="38" t="s">
        <v>67</v>
      </c>
      <c r="G34" s="37">
        <v>51</v>
      </c>
      <c r="H34" s="38" t="s">
        <v>67</v>
      </c>
      <c r="I34" s="63">
        <v>420</v>
      </c>
      <c r="J34" s="23">
        <v>45993</v>
      </c>
      <c r="K34" s="8">
        <f t="shared" si="1"/>
        <v>-45993</v>
      </c>
      <c r="L34" s="12"/>
      <c r="M34" s="26"/>
      <c r="N34" s="8">
        <f t="shared" si="0"/>
        <v>0</v>
      </c>
      <c r="O34" s="12"/>
      <c r="P34" s="8">
        <f t="shared" ref="P34:R34" si="71">Q34-O34</f>
        <v>0</v>
      </c>
      <c r="Q34" s="12"/>
      <c r="R34" s="8">
        <f t="shared" si="71"/>
        <v>0</v>
      </c>
      <c r="S34" s="12"/>
      <c r="T34" s="8">
        <f t="shared" ref="T34:V34" si="72">U34-S34</f>
        <v>0</v>
      </c>
      <c r="U34" s="12"/>
      <c r="V34" s="8">
        <f t="shared" si="72"/>
        <v>0</v>
      </c>
      <c r="W34" s="12"/>
      <c r="X34" s="8">
        <f t="shared" ref="X34" si="73">Y34-W34</f>
        <v>0</v>
      </c>
      <c r="Y34" s="18"/>
    </row>
    <row r="35" spans="1:25" s="2" customFormat="1" ht="24.75" customHeight="1" thickBot="1" x14ac:dyDescent="0.25">
      <c r="A35" s="109"/>
      <c r="B35" s="21" t="s">
        <v>74</v>
      </c>
      <c r="C35" s="19">
        <v>86</v>
      </c>
      <c r="D35" s="30" t="s">
        <v>28</v>
      </c>
      <c r="E35" s="39">
        <v>86</v>
      </c>
      <c r="F35" s="40" t="s">
        <v>67</v>
      </c>
      <c r="G35" s="39">
        <v>86</v>
      </c>
      <c r="H35" s="40" t="s">
        <v>67</v>
      </c>
      <c r="I35" s="64">
        <v>360</v>
      </c>
      <c r="J35" s="46">
        <v>45597</v>
      </c>
      <c r="K35" s="8">
        <f t="shared" si="1"/>
        <v>-45597</v>
      </c>
      <c r="L35" s="14"/>
      <c r="M35" s="68"/>
      <c r="N35" s="8">
        <f t="shared" si="0"/>
        <v>0</v>
      </c>
      <c r="O35" s="14"/>
      <c r="P35" s="8">
        <f t="shared" ref="P35:R35" si="74">Q35-O35</f>
        <v>0</v>
      </c>
      <c r="Q35" s="14"/>
      <c r="R35" s="8">
        <f t="shared" si="74"/>
        <v>0</v>
      </c>
      <c r="S35" s="14"/>
      <c r="T35" s="8">
        <f t="shared" ref="T35:V35" si="75">U35-S35</f>
        <v>0</v>
      </c>
      <c r="U35" s="14"/>
      <c r="V35" s="8">
        <f t="shared" si="75"/>
        <v>0</v>
      </c>
      <c r="W35" s="14"/>
      <c r="X35" s="8">
        <f t="shared" ref="X35" si="76">Y35-W35</f>
        <v>0</v>
      </c>
      <c r="Y35" s="20"/>
    </row>
    <row r="36" spans="1:25" s="2" customFormat="1" ht="24.75" customHeight="1" thickBot="1" x14ac:dyDescent="0.25">
      <c r="A36" s="104" t="s">
        <v>29</v>
      </c>
      <c r="B36" s="73" t="s">
        <v>75</v>
      </c>
      <c r="C36" s="21">
        <v>4</v>
      </c>
      <c r="D36" s="28" t="s">
        <v>30</v>
      </c>
      <c r="E36" s="35">
        <v>4</v>
      </c>
      <c r="F36" s="36" t="s">
        <v>67</v>
      </c>
      <c r="G36" s="35">
        <v>4</v>
      </c>
      <c r="H36" s="36" t="s">
        <v>67</v>
      </c>
      <c r="I36" s="62">
        <v>390</v>
      </c>
      <c r="J36" s="83">
        <v>45608</v>
      </c>
      <c r="K36" s="60">
        <f>L36-J36</f>
        <v>106</v>
      </c>
      <c r="L36" s="84">
        <v>45714</v>
      </c>
      <c r="M36" s="85" t="s">
        <v>115</v>
      </c>
      <c r="N36" s="86">
        <f t="shared" si="0"/>
        <v>35</v>
      </c>
      <c r="O36" s="87">
        <v>45749</v>
      </c>
      <c r="P36" s="60">
        <f>Q36-O36</f>
        <v>159</v>
      </c>
      <c r="Q36" s="84">
        <v>45908</v>
      </c>
      <c r="R36" s="8">
        <f>S36-Q36</f>
        <v>-45908</v>
      </c>
      <c r="S36" s="9"/>
      <c r="T36" s="8">
        <f>U36-S36</f>
        <v>0</v>
      </c>
      <c r="U36" s="9"/>
      <c r="V36" s="8">
        <f>W36-U36</f>
        <v>0</v>
      </c>
      <c r="W36" s="9"/>
      <c r="X36" s="8">
        <f>Y36-W36</f>
        <v>0</v>
      </c>
      <c r="Y36" s="16"/>
    </row>
    <row r="37" spans="1:25" s="2" customFormat="1" ht="24.75" customHeight="1" thickBot="1" x14ac:dyDescent="0.25">
      <c r="A37" s="105"/>
      <c r="B37" s="21" t="s">
        <v>76</v>
      </c>
      <c r="C37" s="17">
        <v>21</v>
      </c>
      <c r="D37" s="29" t="s">
        <v>31</v>
      </c>
      <c r="E37" s="37">
        <v>21</v>
      </c>
      <c r="F37" s="38" t="s">
        <v>67</v>
      </c>
      <c r="G37" s="37">
        <v>21</v>
      </c>
      <c r="H37" s="38" t="s">
        <v>67</v>
      </c>
      <c r="I37" s="62">
        <v>390</v>
      </c>
      <c r="J37" s="23">
        <v>45915</v>
      </c>
      <c r="K37" s="8">
        <f t="shared" si="1"/>
        <v>-45915</v>
      </c>
      <c r="L37" s="12"/>
      <c r="M37" s="26"/>
      <c r="N37" s="8">
        <f t="shared" si="0"/>
        <v>0</v>
      </c>
      <c r="O37" s="12"/>
      <c r="P37" s="8">
        <f t="shared" ref="P37:R37" si="77">Q37-O37</f>
        <v>0</v>
      </c>
      <c r="Q37" s="12"/>
      <c r="R37" s="8">
        <f t="shared" si="77"/>
        <v>0</v>
      </c>
      <c r="S37" s="12"/>
      <c r="T37" s="8">
        <f t="shared" ref="T37:V37" si="78">U37-S37</f>
        <v>0</v>
      </c>
      <c r="U37" s="12"/>
      <c r="V37" s="8">
        <f t="shared" si="78"/>
        <v>0</v>
      </c>
      <c r="W37" s="12"/>
      <c r="X37" s="8">
        <f t="shared" ref="X37" si="79">Y37-W37</f>
        <v>0</v>
      </c>
      <c r="Y37" s="18"/>
    </row>
    <row r="38" spans="1:25" s="2" customFormat="1" ht="24.75" customHeight="1" thickBot="1" x14ac:dyDescent="0.25">
      <c r="A38" s="105"/>
      <c r="B38" s="21" t="s">
        <v>79</v>
      </c>
      <c r="C38" s="17">
        <v>61</v>
      </c>
      <c r="D38" s="29" t="s">
        <v>32</v>
      </c>
      <c r="E38" s="37">
        <v>61</v>
      </c>
      <c r="F38" s="38" t="s">
        <v>67</v>
      </c>
      <c r="G38" s="37">
        <v>61</v>
      </c>
      <c r="H38" s="38" t="s">
        <v>67</v>
      </c>
      <c r="I38" s="62">
        <v>390</v>
      </c>
      <c r="J38" s="23">
        <v>45624</v>
      </c>
      <c r="K38" s="8">
        <f t="shared" si="1"/>
        <v>-45624</v>
      </c>
      <c r="L38" s="12"/>
      <c r="M38" s="26"/>
      <c r="N38" s="8">
        <f t="shared" si="0"/>
        <v>0</v>
      </c>
      <c r="O38" s="12"/>
      <c r="P38" s="8">
        <f t="shared" ref="P38:R38" si="80">Q38-O38</f>
        <v>0</v>
      </c>
      <c r="Q38" s="12"/>
      <c r="R38" s="8">
        <f t="shared" si="80"/>
        <v>0</v>
      </c>
      <c r="S38" s="12"/>
      <c r="T38" s="8">
        <f t="shared" ref="T38:V38" si="81">U38-S38</f>
        <v>0</v>
      </c>
      <c r="U38" s="12"/>
      <c r="V38" s="8">
        <f t="shared" si="81"/>
        <v>0</v>
      </c>
      <c r="W38" s="12"/>
      <c r="X38" s="8">
        <f t="shared" ref="X38" si="82">Y38-W38</f>
        <v>0</v>
      </c>
      <c r="Y38" s="18"/>
    </row>
    <row r="39" spans="1:25" s="2" customFormat="1" ht="24.75" customHeight="1" thickBot="1" x14ac:dyDescent="0.25">
      <c r="A39" s="105"/>
      <c r="B39" s="21" t="s">
        <v>77</v>
      </c>
      <c r="C39" s="17">
        <v>7</v>
      </c>
      <c r="D39" s="29" t="s">
        <v>33</v>
      </c>
      <c r="E39" s="37">
        <v>7</v>
      </c>
      <c r="F39" s="38" t="s">
        <v>67</v>
      </c>
      <c r="G39" s="37">
        <v>7</v>
      </c>
      <c r="H39" s="38" t="s">
        <v>67</v>
      </c>
      <c r="I39" s="62">
        <v>390</v>
      </c>
      <c r="J39" s="11"/>
      <c r="K39" s="8">
        <f t="shared" si="1"/>
        <v>0</v>
      </c>
      <c r="L39" s="12"/>
      <c r="M39" s="26"/>
      <c r="N39" s="8">
        <f t="shared" si="0"/>
        <v>0</v>
      </c>
      <c r="O39" s="12"/>
      <c r="P39" s="8">
        <f t="shared" ref="P39:R39" si="83">Q39-O39</f>
        <v>0</v>
      </c>
      <c r="Q39" s="12"/>
      <c r="R39" s="8">
        <f t="shared" si="83"/>
        <v>0</v>
      </c>
      <c r="S39" s="12"/>
      <c r="T39" s="8">
        <f t="shared" ref="T39:V39" si="84">U39-S39</f>
        <v>0</v>
      </c>
      <c r="U39" s="12"/>
      <c r="V39" s="8">
        <f t="shared" si="84"/>
        <v>0</v>
      </c>
      <c r="W39" s="12"/>
      <c r="X39" s="8">
        <f t="shared" ref="X39" si="85">Y39-W39</f>
        <v>0</v>
      </c>
      <c r="Y39" s="18"/>
    </row>
    <row r="40" spans="1:25" s="2" customFormat="1" ht="24.75" customHeight="1" thickBot="1" x14ac:dyDescent="0.25">
      <c r="A40" s="105"/>
      <c r="B40" s="21" t="s">
        <v>78</v>
      </c>
      <c r="C40" s="17">
        <v>22</v>
      </c>
      <c r="D40" s="29" t="s">
        <v>34</v>
      </c>
      <c r="E40" s="37">
        <v>22</v>
      </c>
      <c r="F40" s="38" t="s">
        <v>67</v>
      </c>
      <c r="G40" s="37">
        <v>22</v>
      </c>
      <c r="H40" s="38" t="s">
        <v>67</v>
      </c>
      <c r="I40" s="62">
        <v>390</v>
      </c>
      <c r="J40" s="11"/>
      <c r="K40" s="8">
        <f t="shared" si="1"/>
        <v>0</v>
      </c>
      <c r="L40" s="12"/>
      <c r="M40" s="26"/>
      <c r="N40" s="8">
        <f t="shared" ref="N40:N68" si="86">O40-L40</f>
        <v>0</v>
      </c>
      <c r="O40" s="12"/>
      <c r="P40" s="8">
        <f t="shared" ref="P40:R40" si="87">Q40-O40</f>
        <v>0</v>
      </c>
      <c r="Q40" s="12"/>
      <c r="R40" s="8">
        <f t="shared" si="87"/>
        <v>0</v>
      </c>
      <c r="S40" s="12"/>
      <c r="T40" s="8">
        <f t="shared" ref="T40:V40" si="88">U40-S40</f>
        <v>0</v>
      </c>
      <c r="U40" s="12"/>
      <c r="V40" s="8">
        <f t="shared" si="88"/>
        <v>0</v>
      </c>
      <c r="W40" s="12"/>
      <c r="X40" s="8">
        <f t="shared" ref="X40" si="89">Y40-W40</f>
        <v>0</v>
      </c>
      <c r="Y40" s="18"/>
    </row>
    <row r="41" spans="1:25" s="2" customFormat="1" ht="24.75" customHeight="1" thickBot="1" x14ac:dyDescent="0.25">
      <c r="A41" s="105"/>
      <c r="B41" s="21" t="s">
        <v>79</v>
      </c>
      <c r="C41" s="17">
        <v>12</v>
      </c>
      <c r="D41" s="29" t="s">
        <v>35</v>
      </c>
      <c r="E41" s="37">
        <v>12</v>
      </c>
      <c r="F41" s="38" t="s">
        <v>67</v>
      </c>
      <c r="G41" s="37">
        <v>12</v>
      </c>
      <c r="H41" s="38" t="s">
        <v>67</v>
      </c>
      <c r="I41" s="62">
        <v>390</v>
      </c>
      <c r="J41" s="23">
        <v>45618</v>
      </c>
      <c r="K41" s="8">
        <f t="shared" si="1"/>
        <v>-45618</v>
      </c>
      <c r="L41" s="12"/>
      <c r="M41" s="26"/>
      <c r="N41" s="8">
        <f t="shared" si="86"/>
        <v>0</v>
      </c>
      <c r="O41" s="12"/>
      <c r="P41" s="8">
        <f t="shared" ref="P41:R41" si="90">Q41-O41</f>
        <v>0</v>
      </c>
      <c r="Q41" s="12"/>
      <c r="R41" s="8">
        <f t="shared" si="90"/>
        <v>0</v>
      </c>
      <c r="S41" s="12"/>
      <c r="T41" s="8">
        <f t="shared" ref="T41:V41" si="91">U41-S41</f>
        <v>0</v>
      </c>
      <c r="U41" s="12"/>
      <c r="V41" s="8">
        <f t="shared" si="91"/>
        <v>0</v>
      </c>
      <c r="W41" s="12"/>
      <c r="X41" s="8">
        <f t="shared" ref="X41" si="92">Y41-W41</f>
        <v>0</v>
      </c>
      <c r="Y41" s="18"/>
    </row>
    <row r="42" spans="1:25" s="2" customFormat="1" ht="24.75" customHeight="1" thickBot="1" x14ac:dyDescent="0.25">
      <c r="A42" s="105"/>
      <c r="B42" s="21" t="s">
        <v>72</v>
      </c>
      <c r="C42" s="17">
        <v>65</v>
      </c>
      <c r="D42" s="29" t="s">
        <v>36</v>
      </c>
      <c r="E42" s="37">
        <v>65</v>
      </c>
      <c r="F42" s="38" t="s">
        <v>67</v>
      </c>
      <c r="G42" s="37">
        <v>65</v>
      </c>
      <c r="H42" s="38" t="s">
        <v>67</v>
      </c>
      <c r="I42" s="62">
        <v>390</v>
      </c>
      <c r="J42" s="23">
        <v>45603</v>
      </c>
      <c r="K42" s="8">
        <f t="shared" si="1"/>
        <v>-45603</v>
      </c>
      <c r="L42" s="12"/>
      <c r="M42" s="26"/>
      <c r="N42" s="8">
        <f t="shared" si="86"/>
        <v>0</v>
      </c>
      <c r="O42" s="12"/>
      <c r="P42" s="8">
        <f t="shared" ref="P42:R42" si="93">Q42-O42</f>
        <v>0</v>
      </c>
      <c r="Q42" s="12"/>
      <c r="R42" s="8">
        <f t="shared" si="93"/>
        <v>0</v>
      </c>
      <c r="S42" s="12"/>
      <c r="T42" s="8">
        <f t="shared" ref="T42:V42" si="94">U42-S42</f>
        <v>0</v>
      </c>
      <c r="U42" s="12"/>
      <c r="V42" s="8">
        <f t="shared" si="94"/>
        <v>0</v>
      </c>
      <c r="W42" s="12"/>
      <c r="X42" s="8">
        <f t="shared" ref="X42" si="95">Y42-W42</f>
        <v>0</v>
      </c>
      <c r="Y42" s="18"/>
    </row>
    <row r="43" spans="1:25" s="2" customFormat="1" ht="24.75" customHeight="1" thickBot="1" x14ac:dyDescent="0.25">
      <c r="A43" s="105"/>
      <c r="B43" s="21" t="s">
        <v>80</v>
      </c>
      <c r="C43" s="17">
        <v>15</v>
      </c>
      <c r="D43" s="29" t="s">
        <v>37</v>
      </c>
      <c r="E43" s="37">
        <v>15</v>
      </c>
      <c r="F43" s="38" t="s">
        <v>67</v>
      </c>
      <c r="G43" s="37">
        <v>15</v>
      </c>
      <c r="H43" s="38" t="s">
        <v>67</v>
      </c>
      <c r="I43" s="62">
        <v>390</v>
      </c>
      <c r="J43" s="11"/>
      <c r="K43" s="8">
        <f t="shared" si="1"/>
        <v>0</v>
      </c>
      <c r="L43" s="12"/>
      <c r="M43" s="26"/>
      <c r="N43" s="8">
        <f t="shared" si="86"/>
        <v>0</v>
      </c>
      <c r="O43" s="12"/>
      <c r="P43" s="8">
        <f t="shared" ref="P43:R43" si="96">Q43-O43</f>
        <v>0</v>
      </c>
      <c r="Q43" s="12"/>
      <c r="R43" s="8">
        <f t="shared" si="96"/>
        <v>0</v>
      </c>
      <c r="S43" s="12"/>
      <c r="T43" s="8">
        <f t="shared" ref="T43:V43" si="97">U43-S43</f>
        <v>0</v>
      </c>
      <c r="U43" s="12"/>
      <c r="V43" s="8">
        <f t="shared" si="97"/>
        <v>0</v>
      </c>
      <c r="W43" s="12"/>
      <c r="X43" s="8">
        <f t="shared" ref="X43" si="98">Y43-W43</f>
        <v>0</v>
      </c>
      <c r="Y43" s="18"/>
    </row>
    <row r="44" spans="1:25" s="2" customFormat="1" ht="24.75" customHeight="1" thickBot="1" x14ac:dyDescent="0.25">
      <c r="A44" s="105"/>
      <c r="B44" s="21" t="s">
        <v>72</v>
      </c>
      <c r="C44" s="17">
        <v>45</v>
      </c>
      <c r="D44" s="29" t="s">
        <v>38</v>
      </c>
      <c r="E44" s="37">
        <v>45</v>
      </c>
      <c r="F44" s="38" t="s">
        <v>67</v>
      </c>
      <c r="G44" s="37">
        <v>45</v>
      </c>
      <c r="H44" s="38" t="s">
        <v>67</v>
      </c>
      <c r="I44" s="62">
        <v>390</v>
      </c>
      <c r="J44" s="75">
        <v>45604</v>
      </c>
      <c r="K44" s="76">
        <f>L44-J44</f>
        <v>45</v>
      </c>
      <c r="L44" s="77">
        <v>45649</v>
      </c>
      <c r="M44" s="74"/>
      <c r="N44" s="60">
        <f t="shared" si="86"/>
        <v>108</v>
      </c>
      <c r="O44" s="61">
        <v>45757</v>
      </c>
      <c r="P44" s="8">
        <f>Q44-O44</f>
        <v>-45757</v>
      </c>
      <c r="Q44" s="12"/>
      <c r="R44" s="8">
        <f>S44-Q44</f>
        <v>0</v>
      </c>
      <c r="S44" s="12"/>
      <c r="T44" s="8">
        <f>U44-S44</f>
        <v>0</v>
      </c>
      <c r="U44" s="12"/>
      <c r="V44" s="8">
        <f>W44-U44</f>
        <v>0</v>
      </c>
      <c r="W44" s="12"/>
      <c r="X44" s="8">
        <f>Y44-W44</f>
        <v>0</v>
      </c>
      <c r="Y44" s="18"/>
    </row>
    <row r="45" spans="1:25" s="2" customFormat="1" ht="24.75" customHeight="1" thickBot="1" x14ac:dyDescent="0.25">
      <c r="A45" s="105"/>
      <c r="B45" s="21" t="s">
        <v>81</v>
      </c>
      <c r="C45" s="17">
        <v>56</v>
      </c>
      <c r="D45" s="29" t="s">
        <v>39</v>
      </c>
      <c r="E45" s="37">
        <v>56</v>
      </c>
      <c r="F45" s="38" t="s">
        <v>67</v>
      </c>
      <c r="G45" s="37">
        <v>56</v>
      </c>
      <c r="H45" s="38" t="s">
        <v>67</v>
      </c>
      <c r="I45" s="62">
        <v>390</v>
      </c>
      <c r="J45" s="75">
        <v>45731</v>
      </c>
      <c r="K45" s="60">
        <f t="shared" si="1"/>
        <v>87</v>
      </c>
      <c r="L45" s="61">
        <v>45818</v>
      </c>
      <c r="M45" s="26"/>
      <c r="N45" s="8">
        <f t="shared" si="86"/>
        <v>-45818</v>
      </c>
      <c r="O45" s="12"/>
      <c r="P45" s="8">
        <f t="shared" ref="P45:R45" si="99">Q45-O45</f>
        <v>0</v>
      </c>
      <c r="Q45" s="12"/>
      <c r="R45" s="8">
        <f t="shared" si="99"/>
        <v>0</v>
      </c>
      <c r="S45" s="12"/>
      <c r="T45" s="8">
        <f t="shared" ref="T45:V45" si="100">U45-S45</f>
        <v>0</v>
      </c>
      <c r="U45" s="12"/>
      <c r="V45" s="8">
        <f t="shared" si="100"/>
        <v>0</v>
      </c>
      <c r="W45" s="12"/>
      <c r="X45" s="8">
        <f t="shared" ref="X45" si="101">Y45-W45</f>
        <v>0</v>
      </c>
      <c r="Y45" s="18"/>
    </row>
    <row r="46" spans="1:25" s="2" customFormat="1" ht="24.75" customHeight="1" thickBot="1" x14ac:dyDescent="0.25">
      <c r="A46" s="105"/>
      <c r="B46" s="21" t="s">
        <v>72</v>
      </c>
      <c r="C46" s="17">
        <v>18</v>
      </c>
      <c r="D46" s="29" t="s">
        <v>40</v>
      </c>
      <c r="E46" s="37">
        <v>18</v>
      </c>
      <c r="F46" s="38" t="s">
        <v>67</v>
      </c>
      <c r="G46" s="37">
        <v>18</v>
      </c>
      <c r="H46" s="37" t="s">
        <v>67</v>
      </c>
      <c r="I46" s="62">
        <v>390</v>
      </c>
      <c r="J46" s="59">
        <v>45618</v>
      </c>
      <c r="K46" s="60">
        <f t="shared" si="1"/>
        <v>105</v>
      </c>
      <c r="L46" s="61">
        <v>45723</v>
      </c>
      <c r="M46" s="26"/>
      <c r="N46" s="8">
        <f t="shared" si="86"/>
        <v>-45723</v>
      </c>
      <c r="O46" s="12"/>
      <c r="P46" s="8">
        <f t="shared" ref="P46:R46" si="102">Q46-O46</f>
        <v>0</v>
      </c>
      <c r="Q46" s="12"/>
      <c r="R46" s="8">
        <f t="shared" si="102"/>
        <v>0</v>
      </c>
      <c r="S46" s="12"/>
      <c r="T46" s="8">
        <f t="shared" ref="T46:V46" si="103">U46-S46</f>
        <v>0</v>
      </c>
      <c r="U46" s="12"/>
      <c r="V46" s="8">
        <f t="shared" si="103"/>
        <v>0</v>
      </c>
      <c r="W46" s="12"/>
      <c r="X46" s="8">
        <f t="shared" ref="X46" si="104">Y46-W46</f>
        <v>0</v>
      </c>
      <c r="Y46" s="22"/>
    </row>
    <row r="47" spans="1:25" s="2" customFormat="1" ht="24.75" customHeight="1" thickBot="1" x14ac:dyDescent="0.25">
      <c r="A47" s="105"/>
      <c r="B47" s="21" t="s">
        <v>77</v>
      </c>
      <c r="C47" s="17">
        <v>19</v>
      </c>
      <c r="D47" s="29" t="s">
        <v>41</v>
      </c>
      <c r="E47" s="37">
        <v>19</v>
      </c>
      <c r="F47" s="38" t="s">
        <v>67</v>
      </c>
      <c r="G47" s="37">
        <v>19</v>
      </c>
      <c r="H47" s="38" t="s">
        <v>67</v>
      </c>
      <c r="I47" s="62">
        <v>390</v>
      </c>
      <c r="J47" s="88">
        <v>45733</v>
      </c>
      <c r="K47" s="60">
        <f t="shared" si="1"/>
        <v>101</v>
      </c>
      <c r="L47" s="61">
        <v>45834</v>
      </c>
      <c r="M47" s="26"/>
      <c r="N47" s="8">
        <f t="shared" si="86"/>
        <v>-45834</v>
      </c>
      <c r="O47" s="12"/>
      <c r="P47" s="8">
        <f t="shared" ref="P47:R47" si="105">Q47-O47</f>
        <v>0</v>
      </c>
      <c r="Q47" s="12"/>
      <c r="R47" s="8">
        <f t="shared" si="105"/>
        <v>0</v>
      </c>
      <c r="S47" s="12"/>
      <c r="T47" s="8">
        <f t="shared" ref="T47:V47" si="106">U47-S47</f>
        <v>0</v>
      </c>
      <c r="U47" s="12"/>
      <c r="V47" s="8">
        <f t="shared" si="106"/>
        <v>0</v>
      </c>
      <c r="W47" s="12"/>
      <c r="X47" s="8">
        <f t="shared" ref="X47" si="107">Y47-W47</f>
        <v>0</v>
      </c>
      <c r="Y47" s="22"/>
    </row>
    <row r="48" spans="1:25" s="2" customFormat="1" ht="24.75" customHeight="1" thickBot="1" x14ac:dyDescent="0.25">
      <c r="A48" s="105"/>
      <c r="B48" s="21" t="s">
        <v>72</v>
      </c>
      <c r="C48" s="17">
        <v>27</v>
      </c>
      <c r="D48" s="29" t="s">
        <v>42</v>
      </c>
      <c r="E48" s="37">
        <v>27</v>
      </c>
      <c r="F48" s="38" t="s">
        <v>67</v>
      </c>
      <c r="G48" s="37">
        <v>27</v>
      </c>
      <c r="H48" s="38" t="s">
        <v>67</v>
      </c>
      <c r="I48" s="62">
        <v>390</v>
      </c>
      <c r="J48" s="82" t="s">
        <v>70</v>
      </c>
      <c r="K48" s="79">
        <f t="shared" si="1"/>
        <v>77</v>
      </c>
      <c r="L48" s="61">
        <v>45681</v>
      </c>
      <c r="M48" s="74"/>
      <c r="N48" s="60">
        <f t="shared" si="86"/>
        <v>152</v>
      </c>
      <c r="O48" s="61">
        <v>45833</v>
      </c>
      <c r="P48" s="76">
        <f t="shared" ref="P48:R48" si="108">Q48-O48</f>
        <v>75</v>
      </c>
      <c r="Q48" s="77">
        <v>45908</v>
      </c>
      <c r="R48" s="8">
        <f t="shared" si="108"/>
        <v>-45908</v>
      </c>
      <c r="S48" s="12"/>
      <c r="T48" s="8">
        <f t="shared" ref="T48:V48" si="109">U48-S48</f>
        <v>0</v>
      </c>
      <c r="U48" s="12"/>
      <c r="V48" s="8">
        <f t="shared" si="109"/>
        <v>0</v>
      </c>
      <c r="W48" s="12"/>
      <c r="X48" s="8">
        <f t="shared" ref="X48" si="110">Y48-W48</f>
        <v>0</v>
      </c>
      <c r="Y48" s="22"/>
    </row>
    <row r="49" spans="1:25" s="2" customFormat="1" ht="24.75" customHeight="1" thickBot="1" x14ac:dyDescent="0.25">
      <c r="A49" s="105"/>
      <c r="B49" s="21" t="s">
        <v>82</v>
      </c>
      <c r="C49" s="17">
        <v>42</v>
      </c>
      <c r="D49" s="29" t="s">
        <v>43</v>
      </c>
      <c r="E49" s="37">
        <v>42</v>
      </c>
      <c r="F49" s="38" t="s">
        <v>67</v>
      </c>
      <c r="G49" s="37">
        <v>42</v>
      </c>
      <c r="H49" s="38" t="s">
        <v>67</v>
      </c>
      <c r="I49" s="62">
        <v>390</v>
      </c>
      <c r="J49" s="90" t="s">
        <v>118</v>
      </c>
      <c r="K49" s="60">
        <f t="shared" si="1"/>
        <v>157</v>
      </c>
      <c r="L49" s="61">
        <v>45912</v>
      </c>
      <c r="M49" s="89" t="s">
        <v>114</v>
      </c>
      <c r="N49" s="8">
        <f t="shared" si="86"/>
        <v>-45912</v>
      </c>
      <c r="O49" s="12"/>
      <c r="P49" s="8">
        <f t="shared" ref="P49:R49" si="111">Q49-O49</f>
        <v>0</v>
      </c>
      <c r="Q49" s="12"/>
      <c r="R49" s="8">
        <f t="shared" si="111"/>
        <v>0</v>
      </c>
      <c r="S49" s="12"/>
      <c r="T49" s="8">
        <f t="shared" ref="T49:V49" si="112">U49-S49</f>
        <v>0</v>
      </c>
      <c r="U49" s="12"/>
      <c r="V49" s="8">
        <f t="shared" si="112"/>
        <v>0</v>
      </c>
      <c r="W49" s="12"/>
      <c r="X49" s="8">
        <f t="shared" ref="X49" si="113">Y49-W49</f>
        <v>0</v>
      </c>
      <c r="Y49" s="22"/>
    </row>
    <row r="50" spans="1:25" s="2" customFormat="1" ht="24.75" customHeight="1" thickBot="1" x14ac:dyDescent="0.25">
      <c r="A50" s="105"/>
      <c r="B50" s="21" t="s">
        <v>83</v>
      </c>
      <c r="C50" s="17">
        <v>49</v>
      </c>
      <c r="D50" s="29" t="s">
        <v>44</v>
      </c>
      <c r="E50" s="37">
        <v>49</v>
      </c>
      <c r="F50" s="38" t="s">
        <v>67</v>
      </c>
      <c r="G50" s="37">
        <v>49</v>
      </c>
      <c r="H50" s="38" t="s">
        <v>67</v>
      </c>
      <c r="I50" s="62">
        <v>450</v>
      </c>
      <c r="J50" s="11"/>
      <c r="K50" s="8">
        <f t="shared" si="1"/>
        <v>0</v>
      </c>
      <c r="L50" s="12"/>
      <c r="M50" s="26"/>
      <c r="N50" s="8">
        <f t="shared" si="86"/>
        <v>0</v>
      </c>
      <c r="O50" s="12"/>
      <c r="P50" s="8">
        <f t="shared" ref="P50:R50" si="114">Q50-O50</f>
        <v>0</v>
      </c>
      <c r="Q50" s="12"/>
      <c r="R50" s="8">
        <f t="shared" si="114"/>
        <v>0</v>
      </c>
      <c r="S50" s="12"/>
      <c r="T50" s="8">
        <f t="shared" ref="T50:V50" si="115">U50-S50</f>
        <v>0</v>
      </c>
      <c r="U50" s="12"/>
      <c r="V50" s="8">
        <f t="shared" si="115"/>
        <v>0</v>
      </c>
      <c r="W50" s="12"/>
      <c r="X50" s="8">
        <f t="shared" ref="X50" si="116">Y50-W50</f>
        <v>0</v>
      </c>
      <c r="Y50" s="18"/>
    </row>
    <row r="51" spans="1:25" s="2" customFormat="1" ht="24.75" customHeight="1" thickBot="1" x14ac:dyDescent="0.25">
      <c r="A51" s="105"/>
      <c r="B51" s="21" t="s">
        <v>81</v>
      </c>
      <c r="C51" s="17">
        <v>8</v>
      </c>
      <c r="D51" s="29" t="s">
        <v>45</v>
      </c>
      <c r="E51" s="37">
        <v>8</v>
      </c>
      <c r="F51" s="38" t="s">
        <v>67</v>
      </c>
      <c r="G51" s="37">
        <v>8</v>
      </c>
      <c r="H51" s="38" t="s">
        <v>67</v>
      </c>
      <c r="I51" s="62">
        <v>390</v>
      </c>
      <c r="J51" s="11"/>
      <c r="K51" s="8">
        <f t="shared" si="1"/>
        <v>0</v>
      </c>
      <c r="L51" s="12"/>
      <c r="M51" s="26"/>
      <c r="N51" s="8">
        <f t="shared" si="86"/>
        <v>0</v>
      </c>
      <c r="O51" s="12"/>
      <c r="P51" s="8">
        <f t="shared" ref="P51:R51" si="117">Q51-O51</f>
        <v>0</v>
      </c>
      <c r="Q51" s="12"/>
      <c r="R51" s="8">
        <f t="shared" si="117"/>
        <v>0</v>
      </c>
      <c r="S51" s="12"/>
      <c r="T51" s="8">
        <f t="shared" ref="T51:V51" si="118">U51-S51</f>
        <v>0</v>
      </c>
      <c r="U51" s="12"/>
      <c r="V51" s="8">
        <f t="shared" si="118"/>
        <v>0</v>
      </c>
      <c r="W51" s="12"/>
      <c r="X51" s="8">
        <f t="shared" ref="X51" si="119">Y51-W51</f>
        <v>0</v>
      </c>
      <c r="Y51" s="18"/>
    </row>
    <row r="52" spans="1:25" s="2" customFormat="1" ht="24.75" customHeight="1" thickBot="1" x14ac:dyDescent="0.25">
      <c r="A52" s="105"/>
      <c r="B52" s="21" t="s">
        <v>75</v>
      </c>
      <c r="C52" s="17">
        <v>80</v>
      </c>
      <c r="D52" s="32" t="s">
        <v>46</v>
      </c>
      <c r="E52" s="37">
        <v>80</v>
      </c>
      <c r="F52" s="38" t="s">
        <v>67</v>
      </c>
      <c r="G52" s="37">
        <v>80</v>
      </c>
      <c r="H52" s="38" t="s">
        <v>67</v>
      </c>
      <c r="I52" s="62">
        <v>390</v>
      </c>
      <c r="J52" s="23">
        <v>45625</v>
      </c>
      <c r="K52" s="8">
        <f t="shared" si="1"/>
        <v>-45625</v>
      </c>
      <c r="L52" s="58"/>
      <c r="M52" s="69"/>
      <c r="N52" s="8">
        <f t="shared" si="86"/>
        <v>0</v>
      </c>
      <c r="O52" s="12"/>
      <c r="P52" s="8">
        <f t="shared" ref="P52:R52" si="120">Q52-O52</f>
        <v>0</v>
      </c>
      <c r="Q52" s="12"/>
      <c r="R52" s="8">
        <f t="shared" si="120"/>
        <v>0</v>
      </c>
      <c r="S52" s="12"/>
      <c r="T52" s="8">
        <f t="shared" ref="T52:V52" si="121">U52-S52</f>
        <v>0</v>
      </c>
      <c r="U52" s="12"/>
      <c r="V52" s="8">
        <f t="shared" si="121"/>
        <v>0</v>
      </c>
      <c r="W52" s="12"/>
      <c r="X52" s="8">
        <f t="shared" ref="X52" si="122">Y52-W52</f>
        <v>0</v>
      </c>
      <c r="Y52" s="18"/>
    </row>
    <row r="53" spans="1:25" s="2" customFormat="1" ht="24.75" customHeight="1" thickBot="1" x14ac:dyDescent="0.25">
      <c r="A53" s="105"/>
      <c r="B53" s="21" t="s">
        <v>75</v>
      </c>
      <c r="C53" s="17">
        <v>81</v>
      </c>
      <c r="D53" s="32" t="s">
        <v>47</v>
      </c>
      <c r="E53" s="37">
        <v>81</v>
      </c>
      <c r="F53" s="38" t="s">
        <v>67</v>
      </c>
      <c r="G53" s="37">
        <v>81</v>
      </c>
      <c r="H53" s="38" t="s">
        <v>67</v>
      </c>
      <c r="I53" s="62">
        <v>400</v>
      </c>
      <c r="J53" s="11"/>
      <c r="K53" s="8">
        <f t="shared" si="1"/>
        <v>0</v>
      </c>
      <c r="L53" s="12"/>
      <c r="M53" s="26"/>
      <c r="N53" s="8">
        <f t="shared" si="86"/>
        <v>0</v>
      </c>
      <c r="O53" s="12"/>
      <c r="P53" s="8">
        <f t="shared" ref="P53:R53" si="123">Q53-O53</f>
        <v>0</v>
      </c>
      <c r="Q53" s="12"/>
      <c r="R53" s="8">
        <f t="shared" si="123"/>
        <v>0</v>
      </c>
      <c r="S53" s="12"/>
      <c r="T53" s="8">
        <f t="shared" ref="T53:V53" si="124">U53-S53</f>
        <v>0</v>
      </c>
      <c r="U53" s="12"/>
      <c r="V53" s="8">
        <f t="shared" si="124"/>
        <v>0</v>
      </c>
      <c r="W53" s="12"/>
      <c r="X53" s="8">
        <f t="shared" ref="X53" si="125">Y53-W53</f>
        <v>0</v>
      </c>
      <c r="Y53" s="18"/>
    </row>
    <row r="54" spans="1:25" s="2" customFormat="1" ht="24.75" customHeight="1" thickBot="1" x14ac:dyDescent="0.25">
      <c r="A54" s="105"/>
      <c r="B54" s="21" t="s">
        <v>75</v>
      </c>
      <c r="C54" s="17">
        <v>82</v>
      </c>
      <c r="D54" s="32" t="s">
        <v>48</v>
      </c>
      <c r="E54" s="37">
        <v>82</v>
      </c>
      <c r="F54" s="38" t="s">
        <v>67</v>
      </c>
      <c r="G54" s="37">
        <v>82</v>
      </c>
      <c r="H54" s="38" t="s">
        <v>67</v>
      </c>
      <c r="I54" s="62">
        <v>400</v>
      </c>
      <c r="J54" s="23">
        <v>45912</v>
      </c>
      <c r="K54" s="8">
        <f t="shared" si="1"/>
        <v>-45912</v>
      </c>
      <c r="L54" s="12"/>
      <c r="M54" s="26"/>
      <c r="N54" s="8">
        <f t="shared" si="86"/>
        <v>0</v>
      </c>
      <c r="O54" s="12"/>
      <c r="P54" s="8">
        <f t="shared" ref="P54:R54" si="126">Q54-O54</f>
        <v>0</v>
      </c>
      <c r="Q54" s="12"/>
      <c r="R54" s="8">
        <f t="shared" si="126"/>
        <v>0</v>
      </c>
      <c r="S54" s="12"/>
      <c r="T54" s="8">
        <f t="shared" ref="T54:V54" si="127">U54-S54</f>
        <v>0</v>
      </c>
      <c r="U54" s="12"/>
      <c r="V54" s="8">
        <f t="shared" si="127"/>
        <v>0</v>
      </c>
      <c r="W54" s="12"/>
      <c r="X54" s="8">
        <f t="shared" ref="X54" si="128">Y54-W54</f>
        <v>0</v>
      </c>
      <c r="Y54" s="18"/>
    </row>
    <row r="55" spans="1:25" s="2" customFormat="1" ht="24.75" customHeight="1" thickBot="1" x14ac:dyDescent="0.25">
      <c r="A55" s="105"/>
      <c r="B55" s="21" t="s">
        <v>75</v>
      </c>
      <c r="C55" s="17">
        <v>83</v>
      </c>
      <c r="D55" s="32" t="s">
        <v>49</v>
      </c>
      <c r="E55" s="37">
        <v>83</v>
      </c>
      <c r="F55" s="38" t="s">
        <v>67</v>
      </c>
      <c r="G55" s="37">
        <v>83</v>
      </c>
      <c r="H55" s="38" t="s">
        <v>67</v>
      </c>
      <c r="I55" s="62">
        <v>400</v>
      </c>
      <c r="J55" s="23">
        <v>45749</v>
      </c>
      <c r="K55" s="8">
        <f>L55-J55</f>
        <v>-45749</v>
      </c>
      <c r="L55" s="12"/>
      <c r="M55" s="12"/>
      <c r="N55" s="8">
        <f t="shared" si="86"/>
        <v>0</v>
      </c>
      <c r="O55" s="12"/>
      <c r="P55" s="8">
        <f>Q55-O55</f>
        <v>0</v>
      </c>
      <c r="Q55" s="12"/>
      <c r="R55" s="8">
        <f>S55-Q55</f>
        <v>0</v>
      </c>
      <c r="S55" s="12"/>
      <c r="T55" s="8">
        <f>U55-S55</f>
        <v>0</v>
      </c>
      <c r="U55" s="12"/>
      <c r="V55" s="8">
        <f>W55-U55</f>
        <v>0</v>
      </c>
      <c r="W55" s="12"/>
      <c r="X55" s="8">
        <f>Y55-W55</f>
        <v>0</v>
      </c>
      <c r="Y55" s="18"/>
    </row>
    <row r="56" spans="1:25" s="2" customFormat="1" ht="24.75" customHeight="1" thickBot="1" x14ac:dyDescent="0.25">
      <c r="A56" s="106"/>
      <c r="B56" s="57" t="s">
        <v>75</v>
      </c>
      <c r="C56" s="19">
        <v>84</v>
      </c>
      <c r="D56" s="33" t="s">
        <v>50</v>
      </c>
      <c r="E56" s="39">
        <v>84</v>
      </c>
      <c r="F56" s="40" t="s">
        <v>67</v>
      </c>
      <c r="G56" s="39">
        <v>84</v>
      </c>
      <c r="H56" s="40" t="s">
        <v>67</v>
      </c>
      <c r="I56" s="62">
        <v>400</v>
      </c>
      <c r="J56" s="23">
        <v>45637</v>
      </c>
      <c r="K56" s="8">
        <f t="shared" si="1"/>
        <v>-45637</v>
      </c>
      <c r="L56" s="14"/>
      <c r="M56" s="12"/>
      <c r="N56" s="8">
        <f t="shared" si="86"/>
        <v>0</v>
      </c>
      <c r="O56" s="14"/>
      <c r="P56" s="8">
        <f t="shared" ref="P56:R56" si="129">Q56-O56</f>
        <v>0</v>
      </c>
      <c r="Q56" s="14"/>
      <c r="R56" s="8">
        <f t="shared" si="129"/>
        <v>0</v>
      </c>
      <c r="S56" s="14"/>
      <c r="T56" s="8">
        <f t="shared" ref="T56:V56" si="130">U56-S56</f>
        <v>0</v>
      </c>
      <c r="U56" s="14"/>
      <c r="V56" s="8">
        <f t="shared" si="130"/>
        <v>0</v>
      </c>
      <c r="W56" s="14"/>
      <c r="X56" s="8">
        <f t="shared" ref="X56" si="131">Y56-W56</f>
        <v>0</v>
      </c>
      <c r="Y56" s="20"/>
    </row>
    <row r="57" spans="1:25" s="2" customFormat="1" ht="24.75" customHeight="1" thickBot="1" x14ac:dyDescent="0.25">
      <c r="A57" s="103" t="s">
        <v>51</v>
      </c>
      <c r="B57" s="17" t="s">
        <v>84</v>
      </c>
      <c r="C57" s="25">
        <v>67</v>
      </c>
      <c r="D57" s="34" t="s">
        <v>52</v>
      </c>
      <c r="E57" s="41">
        <v>67</v>
      </c>
      <c r="F57" s="42" t="s">
        <v>67</v>
      </c>
      <c r="G57" s="41">
        <v>67</v>
      </c>
      <c r="H57" s="42" t="s">
        <v>67</v>
      </c>
      <c r="I57" s="66">
        <v>390</v>
      </c>
      <c r="J57" s="45">
        <v>45610</v>
      </c>
      <c r="K57" s="8">
        <f>L57-J57</f>
        <v>-45610</v>
      </c>
      <c r="L57" s="26"/>
      <c r="M57" s="12"/>
      <c r="N57" s="8">
        <f t="shared" si="86"/>
        <v>0</v>
      </c>
      <c r="O57" s="26"/>
      <c r="P57" s="8">
        <f>Q57-O57</f>
        <v>0</v>
      </c>
      <c r="Q57" s="26"/>
      <c r="R57" s="8">
        <f>S57-Q57</f>
        <v>0</v>
      </c>
      <c r="S57" s="26"/>
      <c r="T57" s="8">
        <f>U57-S57</f>
        <v>0</v>
      </c>
      <c r="U57" s="26"/>
      <c r="V57" s="8">
        <f>W57-U57</f>
        <v>0</v>
      </c>
      <c r="W57" s="26"/>
      <c r="X57" s="8">
        <f>Y57-W57</f>
        <v>0</v>
      </c>
      <c r="Y57" s="27"/>
    </row>
    <row r="58" spans="1:25" s="2" customFormat="1" ht="24.75" customHeight="1" thickBot="1" x14ac:dyDescent="0.25">
      <c r="A58" s="103"/>
      <c r="B58" s="17" t="s">
        <v>85</v>
      </c>
      <c r="C58" s="17">
        <v>77</v>
      </c>
      <c r="D58" s="29" t="s">
        <v>53</v>
      </c>
      <c r="E58" s="37">
        <v>77</v>
      </c>
      <c r="F58" s="38" t="s">
        <v>67</v>
      </c>
      <c r="G58" s="37">
        <v>77</v>
      </c>
      <c r="H58" s="38" t="s">
        <v>67</v>
      </c>
      <c r="I58" s="66">
        <v>410</v>
      </c>
      <c r="J58" s="45">
        <v>45624</v>
      </c>
      <c r="K58" s="8">
        <f>L58-J58</f>
        <v>-45624</v>
      </c>
      <c r="L58" s="23"/>
      <c r="M58" s="45"/>
      <c r="N58" s="8">
        <f t="shared" si="86"/>
        <v>0</v>
      </c>
      <c r="O58" s="12"/>
      <c r="P58" s="8">
        <f t="shared" ref="P58:R58" si="132">Q58-O58</f>
        <v>0</v>
      </c>
      <c r="Q58" s="12"/>
      <c r="R58" s="8">
        <f t="shared" si="132"/>
        <v>0</v>
      </c>
      <c r="S58" s="12"/>
      <c r="T58" s="8">
        <f t="shared" ref="T58:V58" si="133">U58-S58</f>
        <v>0</v>
      </c>
      <c r="U58" s="12"/>
      <c r="V58" s="8">
        <f t="shared" si="133"/>
        <v>0</v>
      </c>
      <c r="W58" s="12"/>
      <c r="X58" s="8">
        <f t="shared" ref="X58" si="134">Y58-W58</f>
        <v>0</v>
      </c>
      <c r="Y58" s="24"/>
    </row>
    <row r="59" spans="1:25" s="2" customFormat="1" ht="24.75" customHeight="1" thickBot="1" x14ac:dyDescent="0.25">
      <c r="A59" s="103"/>
      <c r="B59" s="17" t="s">
        <v>87</v>
      </c>
      <c r="C59" s="17">
        <v>53</v>
      </c>
      <c r="D59" s="29" t="s">
        <v>54</v>
      </c>
      <c r="E59" s="37">
        <v>53</v>
      </c>
      <c r="F59" s="38" t="s">
        <v>67</v>
      </c>
      <c r="G59" s="37">
        <v>53</v>
      </c>
      <c r="H59" s="38" t="s">
        <v>67</v>
      </c>
      <c r="I59" s="63">
        <v>410</v>
      </c>
      <c r="J59" s="11"/>
      <c r="K59" s="8">
        <f t="shared" si="1"/>
        <v>0</v>
      </c>
      <c r="L59" s="12"/>
      <c r="M59" s="26"/>
      <c r="N59" s="8">
        <f t="shared" si="86"/>
        <v>0</v>
      </c>
      <c r="O59" s="12"/>
      <c r="P59" s="8">
        <f t="shared" ref="P59:R59" si="135">Q59-O59</f>
        <v>0</v>
      </c>
      <c r="Q59" s="12"/>
      <c r="R59" s="8">
        <f t="shared" si="135"/>
        <v>0</v>
      </c>
      <c r="S59" s="12"/>
      <c r="T59" s="8">
        <f t="shared" ref="T59:V59" si="136">U59-S59</f>
        <v>0</v>
      </c>
      <c r="U59" s="12"/>
      <c r="V59" s="8">
        <f t="shared" si="136"/>
        <v>0</v>
      </c>
      <c r="W59" s="12"/>
      <c r="X59" s="8">
        <f t="shared" ref="X59" si="137">Y59-W59</f>
        <v>0</v>
      </c>
      <c r="Y59" s="24"/>
    </row>
    <row r="60" spans="1:25" s="2" customFormat="1" ht="24.75" customHeight="1" thickBot="1" x14ac:dyDescent="0.25">
      <c r="A60" s="103"/>
      <c r="B60" s="17" t="s">
        <v>72</v>
      </c>
      <c r="C60" s="17">
        <v>48</v>
      </c>
      <c r="D60" s="29" t="s">
        <v>55</v>
      </c>
      <c r="E60" s="37">
        <v>48</v>
      </c>
      <c r="F60" s="38" t="s">
        <v>67</v>
      </c>
      <c r="G60" s="37">
        <v>48</v>
      </c>
      <c r="H60" s="38" t="s">
        <v>67</v>
      </c>
      <c r="I60" s="63">
        <v>450</v>
      </c>
      <c r="J60" s="23">
        <v>45604</v>
      </c>
      <c r="K60" s="8">
        <f t="shared" si="1"/>
        <v>-45604</v>
      </c>
      <c r="L60" s="12"/>
      <c r="M60" s="26"/>
      <c r="N60" s="8">
        <f t="shared" si="86"/>
        <v>0</v>
      </c>
      <c r="O60" s="12"/>
      <c r="P60" s="8">
        <f t="shared" ref="P60:R60" si="138">Q60-O60</f>
        <v>0</v>
      </c>
      <c r="Q60" s="12"/>
      <c r="R60" s="8">
        <f t="shared" si="138"/>
        <v>0</v>
      </c>
      <c r="S60" s="12"/>
      <c r="T60" s="8">
        <f t="shared" ref="T60:V60" si="139">U60-S60</f>
        <v>0</v>
      </c>
      <c r="U60" s="12"/>
      <c r="V60" s="8">
        <f t="shared" si="139"/>
        <v>0</v>
      </c>
      <c r="W60" s="12"/>
      <c r="X60" s="8">
        <f t="shared" ref="X60" si="140">Y60-W60</f>
        <v>0</v>
      </c>
      <c r="Y60" s="24"/>
    </row>
    <row r="61" spans="1:25" s="2" customFormat="1" ht="24.75" customHeight="1" thickBot="1" x14ac:dyDescent="0.25">
      <c r="A61" s="103"/>
      <c r="B61" s="17" t="s">
        <v>86</v>
      </c>
      <c r="C61" s="17">
        <v>66</v>
      </c>
      <c r="D61" s="29" t="s">
        <v>56</v>
      </c>
      <c r="E61" s="37">
        <v>66</v>
      </c>
      <c r="F61" s="38" t="s">
        <v>67</v>
      </c>
      <c r="G61" s="37">
        <v>66</v>
      </c>
      <c r="H61" s="38" t="s">
        <v>67</v>
      </c>
      <c r="I61" s="63">
        <v>410</v>
      </c>
      <c r="J61" s="23"/>
      <c r="K61" s="8">
        <f t="shared" si="1"/>
        <v>0</v>
      </c>
      <c r="L61" s="12"/>
      <c r="M61" s="26"/>
      <c r="N61" s="8">
        <f t="shared" si="86"/>
        <v>0</v>
      </c>
      <c r="O61" s="12"/>
      <c r="P61" s="8">
        <f t="shared" ref="P61:R61" si="141">Q61-O61</f>
        <v>0</v>
      </c>
      <c r="Q61" s="12"/>
      <c r="R61" s="8">
        <f t="shared" si="141"/>
        <v>0</v>
      </c>
      <c r="S61" s="12"/>
      <c r="T61" s="8">
        <f t="shared" ref="T61:V61" si="142">U61-S61</f>
        <v>0</v>
      </c>
      <c r="U61" s="12"/>
      <c r="V61" s="8">
        <f t="shared" si="142"/>
        <v>0</v>
      </c>
      <c r="W61" s="12"/>
      <c r="X61" s="8">
        <f t="shared" ref="X61" si="143">Y61-W61</f>
        <v>0</v>
      </c>
      <c r="Y61" s="24"/>
    </row>
    <row r="62" spans="1:25" s="2" customFormat="1" ht="24.75" customHeight="1" thickBot="1" x14ac:dyDescent="0.25">
      <c r="A62" s="103"/>
      <c r="B62" s="17" t="s">
        <v>88</v>
      </c>
      <c r="C62" s="17">
        <v>70</v>
      </c>
      <c r="D62" s="29" t="s">
        <v>57</v>
      </c>
      <c r="E62" s="37">
        <v>70</v>
      </c>
      <c r="F62" s="38" t="s">
        <v>67</v>
      </c>
      <c r="G62" s="37">
        <v>70</v>
      </c>
      <c r="H62" s="38" t="s">
        <v>67</v>
      </c>
      <c r="I62" s="63">
        <v>410</v>
      </c>
      <c r="J62" s="23"/>
      <c r="K62" s="8">
        <f t="shared" si="1"/>
        <v>0</v>
      </c>
      <c r="L62" s="12"/>
      <c r="M62" s="26"/>
      <c r="N62" s="8">
        <f t="shared" si="86"/>
        <v>0</v>
      </c>
      <c r="O62" s="12"/>
      <c r="P62" s="8">
        <f t="shared" ref="P62:R62" si="144">Q62-O62</f>
        <v>0</v>
      </c>
      <c r="Q62" s="12"/>
      <c r="R62" s="8">
        <f t="shared" si="144"/>
        <v>0</v>
      </c>
      <c r="S62" s="12"/>
      <c r="T62" s="8">
        <f t="shared" ref="T62:V62" si="145">U62-S62</f>
        <v>0</v>
      </c>
      <c r="U62" s="12"/>
      <c r="V62" s="8">
        <f t="shared" si="145"/>
        <v>0</v>
      </c>
      <c r="W62" s="12"/>
      <c r="X62" s="8">
        <f t="shared" ref="X62" si="146">Y62-W62</f>
        <v>0</v>
      </c>
      <c r="Y62" s="24"/>
    </row>
    <row r="63" spans="1:25" s="2" customFormat="1" ht="24.75" customHeight="1" thickBot="1" x14ac:dyDescent="0.25">
      <c r="A63" s="103"/>
      <c r="B63" s="17" t="s">
        <v>89</v>
      </c>
      <c r="C63" s="17">
        <v>69</v>
      </c>
      <c r="D63" s="29" t="s">
        <v>58</v>
      </c>
      <c r="E63" s="37">
        <v>69</v>
      </c>
      <c r="F63" s="38" t="s">
        <v>67</v>
      </c>
      <c r="G63" s="37">
        <v>69</v>
      </c>
      <c r="H63" s="38" t="s">
        <v>67</v>
      </c>
      <c r="I63" s="63">
        <v>390</v>
      </c>
      <c r="J63" s="59">
        <v>45631</v>
      </c>
      <c r="K63" s="60">
        <f>L63-J63</f>
        <v>63</v>
      </c>
      <c r="L63" s="59">
        <v>45694</v>
      </c>
      <c r="M63" s="26"/>
      <c r="N63" s="8">
        <f t="shared" si="86"/>
        <v>-45694</v>
      </c>
      <c r="O63" s="12"/>
      <c r="P63" s="8">
        <f t="shared" ref="P63:R63" si="147">Q63-O63</f>
        <v>0</v>
      </c>
      <c r="Q63" s="12"/>
      <c r="R63" s="8">
        <f t="shared" si="147"/>
        <v>0</v>
      </c>
      <c r="S63" s="12"/>
      <c r="T63" s="8">
        <f t="shared" ref="T63:V63" si="148">U63-S63</f>
        <v>0</v>
      </c>
      <c r="U63" s="12"/>
      <c r="V63" s="8">
        <f t="shared" si="148"/>
        <v>0</v>
      </c>
      <c r="W63" s="12"/>
      <c r="X63" s="8">
        <f t="shared" ref="X63" si="149">Y63-W63</f>
        <v>0</v>
      </c>
      <c r="Y63" s="24"/>
    </row>
    <row r="64" spans="1:25" s="2" customFormat="1" ht="24.75" customHeight="1" thickBot="1" x14ac:dyDescent="0.25">
      <c r="A64" s="103"/>
      <c r="B64" s="17" t="s">
        <v>83</v>
      </c>
      <c r="C64" s="17">
        <v>71</v>
      </c>
      <c r="D64" s="29" t="s">
        <v>59</v>
      </c>
      <c r="E64" s="37">
        <v>71</v>
      </c>
      <c r="F64" s="38" t="s">
        <v>67</v>
      </c>
      <c r="G64" s="37">
        <v>71</v>
      </c>
      <c r="H64" s="38" t="s">
        <v>67</v>
      </c>
      <c r="I64" s="63">
        <v>390</v>
      </c>
      <c r="J64" s="23">
        <v>45630</v>
      </c>
      <c r="K64" s="8">
        <f t="shared" si="1"/>
        <v>-45630</v>
      </c>
      <c r="L64" s="12"/>
      <c r="M64" s="26"/>
      <c r="N64" s="8">
        <f t="shared" si="86"/>
        <v>0</v>
      </c>
      <c r="O64" s="12"/>
      <c r="P64" s="8">
        <f t="shared" ref="P64:R64" si="150">Q64-O64</f>
        <v>0</v>
      </c>
      <c r="Q64" s="12"/>
      <c r="R64" s="8">
        <f t="shared" si="150"/>
        <v>0</v>
      </c>
      <c r="S64" s="12"/>
      <c r="T64" s="8">
        <f t="shared" ref="T64:V64" si="151">U64-S64</f>
        <v>0</v>
      </c>
      <c r="U64" s="12"/>
      <c r="V64" s="8">
        <f t="shared" si="151"/>
        <v>0</v>
      </c>
      <c r="W64" s="12"/>
      <c r="X64" s="8">
        <f t="shared" ref="X64" si="152">Y64-W64</f>
        <v>0</v>
      </c>
      <c r="Y64" s="24"/>
    </row>
    <row r="65" spans="1:25" s="2" customFormat="1" ht="24.75" customHeight="1" thickBot="1" x14ac:dyDescent="0.25">
      <c r="A65" s="103"/>
      <c r="B65" s="17" t="s">
        <v>90</v>
      </c>
      <c r="C65" s="17">
        <v>85</v>
      </c>
      <c r="D65" s="29">
        <v>5951222008158</v>
      </c>
      <c r="E65" s="37">
        <v>85</v>
      </c>
      <c r="F65" s="38" t="s">
        <v>67</v>
      </c>
      <c r="G65" s="37">
        <v>85</v>
      </c>
      <c r="H65" s="38" t="s">
        <v>67</v>
      </c>
      <c r="I65" s="63">
        <v>390</v>
      </c>
      <c r="J65" s="23">
        <v>45649</v>
      </c>
      <c r="K65" s="8">
        <f t="shared" si="1"/>
        <v>-45649</v>
      </c>
      <c r="L65" s="12"/>
      <c r="M65" s="26"/>
      <c r="N65" s="8">
        <f t="shared" si="86"/>
        <v>0</v>
      </c>
      <c r="O65" s="12"/>
      <c r="P65" s="8">
        <f t="shared" ref="P65:R65" si="153">Q65-O65</f>
        <v>0</v>
      </c>
      <c r="Q65" s="12"/>
      <c r="R65" s="8">
        <f t="shared" si="153"/>
        <v>0</v>
      </c>
      <c r="S65" s="12"/>
      <c r="T65" s="8">
        <f t="shared" ref="T65:V65" si="154">U65-S65</f>
        <v>0</v>
      </c>
      <c r="U65" s="12"/>
      <c r="V65" s="8">
        <f t="shared" si="154"/>
        <v>0</v>
      </c>
      <c r="W65" s="12"/>
      <c r="X65" s="8">
        <f t="shared" ref="X65" si="155">Y65-W65</f>
        <v>0</v>
      </c>
      <c r="Y65" s="24"/>
    </row>
    <row r="66" spans="1:25" s="2" customFormat="1" ht="24.75" customHeight="1" thickBot="1" x14ac:dyDescent="0.25">
      <c r="A66" s="103"/>
      <c r="B66" s="17" t="s">
        <v>71</v>
      </c>
      <c r="C66" s="17">
        <v>72</v>
      </c>
      <c r="D66" s="29" t="s">
        <v>60</v>
      </c>
      <c r="E66" s="37">
        <v>72</v>
      </c>
      <c r="F66" s="38" t="s">
        <v>67</v>
      </c>
      <c r="G66" s="37">
        <v>72</v>
      </c>
      <c r="H66" s="38" t="s">
        <v>67</v>
      </c>
      <c r="I66" s="63">
        <v>450</v>
      </c>
      <c r="J66" s="59">
        <v>45603</v>
      </c>
      <c r="K66" s="60">
        <f t="shared" si="1"/>
        <v>15</v>
      </c>
      <c r="L66" s="61">
        <v>45618</v>
      </c>
      <c r="M66" s="70"/>
      <c r="N66" s="60">
        <f t="shared" si="86"/>
        <v>26</v>
      </c>
      <c r="O66" s="61">
        <v>45644</v>
      </c>
      <c r="P66" s="8">
        <f t="shared" ref="P66:R66" si="156">Q66-O66</f>
        <v>-45644</v>
      </c>
      <c r="Q66" s="12"/>
      <c r="R66" s="8">
        <f t="shared" si="156"/>
        <v>0</v>
      </c>
      <c r="S66" s="12"/>
      <c r="T66" s="8">
        <f t="shared" ref="T66:V66" si="157">U66-S66</f>
        <v>0</v>
      </c>
      <c r="U66" s="12"/>
      <c r="V66" s="8">
        <f t="shared" si="157"/>
        <v>0</v>
      </c>
      <c r="W66" s="12"/>
      <c r="X66" s="8">
        <f t="shared" ref="X66" si="158">Y66-W66</f>
        <v>0</v>
      </c>
      <c r="Y66" s="24"/>
    </row>
    <row r="67" spans="1:25" s="2" customFormat="1" ht="24.75" customHeight="1" thickBot="1" x14ac:dyDescent="0.25">
      <c r="A67" s="103"/>
      <c r="B67" s="17" t="s">
        <v>90</v>
      </c>
      <c r="C67" s="17">
        <v>87</v>
      </c>
      <c r="D67" s="29" t="s">
        <v>61</v>
      </c>
      <c r="E67" s="37">
        <v>87</v>
      </c>
      <c r="F67" s="38" t="s">
        <v>67</v>
      </c>
      <c r="G67" s="37">
        <v>87</v>
      </c>
      <c r="H67" s="38" t="s">
        <v>67</v>
      </c>
      <c r="I67" s="63">
        <v>390</v>
      </c>
      <c r="J67" s="59">
        <v>45602</v>
      </c>
      <c r="K67" s="60">
        <f t="shared" si="1"/>
        <v>47</v>
      </c>
      <c r="L67" s="61">
        <v>45649</v>
      </c>
      <c r="M67" s="74"/>
      <c r="N67" s="8">
        <f t="shared" si="86"/>
        <v>-45649</v>
      </c>
      <c r="O67" s="12"/>
      <c r="P67" s="8">
        <f t="shared" ref="P67:R67" si="159">Q67-O67</f>
        <v>0</v>
      </c>
      <c r="Q67" s="12"/>
      <c r="R67" s="8">
        <f t="shared" si="159"/>
        <v>0</v>
      </c>
      <c r="S67" s="12"/>
      <c r="T67" s="8">
        <f t="shared" ref="T67:V67" si="160">U67-S67</f>
        <v>0</v>
      </c>
      <c r="U67" s="12"/>
      <c r="V67" s="8">
        <f t="shared" si="160"/>
        <v>0</v>
      </c>
      <c r="W67" s="12"/>
      <c r="X67" s="8">
        <f t="shared" ref="X67" si="161">Y67-W67</f>
        <v>0</v>
      </c>
      <c r="Y67" s="24"/>
    </row>
    <row r="68" spans="1:25" s="2" customFormat="1" ht="24.75" customHeight="1" x14ac:dyDescent="0.2">
      <c r="A68" s="103"/>
      <c r="B68" s="17" t="s">
        <v>91</v>
      </c>
      <c r="C68" s="17">
        <v>88</v>
      </c>
      <c r="D68" s="29">
        <v>5951222004050</v>
      </c>
      <c r="E68" s="37">
        <v>88</v>
      </c>
      <c r="F68" s="38" t="s">
        <v>67</v>
      </c>
      <c r="G68" s="37">
        <v>88</v>
      </c>
      <c r="H68" s="38" t="s">
        <v>67</v>
      </c>
      <c r="I68" s="63">
        <v>410</v>
      </c>
      <c r="J68" s="59">
        <v>45607</v>
      </c>
      <c r="K68" s="60">
        <f>L68-J68</f>
        <v>42</v>
      </c>
      <c r="L68" s="61">
        <v>45649</v>
      </c>
      <c r="M68" s="74"/>
      <c r="N68" s="74">
        <f t="shared" si="86"/>
        <v>45</v>
      </c>
      <c r="O68" s="74">
        <v>45694</v>
      </c>
      <c r="P68" s="8">
        <f>Q68-O68</f>
        <v>-45694</v>
      </c>
      <c r="Q68" s="12"/>
      <c r="R68" s="8">
        <f>S68-Q68</f>
        <v>0</v>
      </c>
      <c r="S68" s="12"/>
      <c r="T68" s="8">
        <f>U68-S68</f>
        <v>0</v>
      </c>
      <c r="U68" s="12"/>
      <c r="V68" s="8">
        <f>W68-U68</f>
        <v>0</v>
      </c>
      <c r="W68" s="12"/>
      <c r="X68" s="8">
        <f>Y68-W68</f>
        <v>0</v>
      </c>
      <c r="Y68" s="24"/>
    </row>
    <row r="69" spans="1:25" s="2" customFormat="1" hidden="1" x14ac:dyDescent="0.2">
      <c r="A69" s="4"/>
      <c r="B69" s="4"/>
      <c r="C69" s="4"/>
      <c r="D69" s="4"/>
      <c r="E69" s="5"/>
      <c r="F69" s="5"/>
      <c r="G69" s="5"/>
      <c r="H69" s="5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5"/>
    </row>
    <row r="70" spans="1:25" s="2" customFormat="1" ht="12.75" hidden="1" customHeight="1" thickBot="1" x14ac:dyDescent="0.25">
      <c r="A70" s="100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2"/>
    </row>
    <row r="71" spans="1:25" ht="13.5" thickBot="1" x14ac:dyDescent="0.25"/>
    <row r="72" spans="1:25" x14ac:dyDescent="0.2">
      <c r="U72" s="91" t="s">
        <v>64</v>
      </c>
      <c r="V72" s="92"/>
      <c r="W72" s="92"/>
      <c r="X72" s="92"/>
      <c r="Y72" s="93"/>
    </row>
    <row r="73" spans="1:25" x14ac:dyDescent="0.2">
      <c r="U73" s="94"/>
      <c r="V73" s="95"/>
      <c r="W73" s="95"/>
      <c r="X73" s="95"/>
      <c r="Y73" s="96"/>
    </row>
    <row r="74" spans="1:25" ht="13.5" thickBot="1" x14ac:dyDescent="0.25">
      <c r="U74" s="97"/>
      <c r="V74" s="98"/>
      <c r="W74" s="98"/>
      <c r="X74" s="98"/>
      <c r="Y74" s="99"/>
    </row>
  </sheetData>
  <autoFilter ref="A6:Y68" xr:uid="{F4BFBBAF-C0C3-4E9B-958B-1A066E956E5B}"/>
  <mergeCells count="11">
    <mergeCell ref="A7:A9"/>
    <mergeCell ref="E5:F5"/>
    <mergeCell ref="G5:H5"/>
    <mergeCell ref="A1:B4"/>
    <mergeCell ref="D1:Y4"/>
    <mergeCell ref="A5:D5"/>
    <mergeCell ref="U72:Y74"/>
    <mergeCell ref="A70:Y70"/>
    <mergeCell ref="A57:A68"/>
    <mergeCell ref="A36:A56"/>
    <mergeCell ref="A10:A35"/>
  </mergeCells>
  <phoneticPr fontId="7" type="noConversion"/>
  <pageMargins left="0" right="0" top="0" bottom="0" header="0" footer="0"/>
  <pageSetup paperSize="8" scale="49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623A2F93-CAD0-43D0-A5AD-BE387A3ECAC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identi</vt:lpstr>
      <vt:lpstr>identi!Zone_d_impression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Faouzi BENFADHEL</dc:creator>
  <cp:lastModifiedBy>Tech Batim.Infra</cp:lastModifiedBy>
  <cp:lastPrinted>2024-12-06T10:28:52Z</cp:lastPrinted>
  <dcterms:created xsi:type="dcterms:W3CDTF">2024-11-06T14:59:28Z</dcterms:created>
  <dcterms:modified xsi:type="dcterms:W3CDTF">2025-12-03T11:05:48Z</dcterms:modified>
</cp:coreProperties>
</file>