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14-Amélioration Continue\Amélioration_Continue_2026\Batiment_Infrastructure_2026\18-KPI_2026\"/>
    </mc:Choice>
  </mc:AlternateContent>
  <xr:revisionPtr revIDLastSave="0" documentId="13_ncr:1_{C8CF9C75-1E5F-4E9B-B209-9E0720CAEC64}" xr6:coauthVersionLast="47" xr6:coauthVersionMax="47" xr10:uidLastSave="{00000000-0000-0000-0000-000000000000}"/>
  <bookViews>
    <workbookView xWindow="-108" yWindow="-108" windowWidth="23256" windowHeight="12456" xr2:uid="{FC505F6A-C366-48C2-AB90-F882F92588F0}"/>
  </bookViews>
  <sheets>
    <sheet name="EOT" sheetId="3" r:id="rId1"/>
    <sheet name="PAC" sheetId="4" r:id="rId2"/>
  </sheets>
  <definedNames>
    <definedName name="_xlnm._FilterDatabase" localSheetId="1" hidden="1">PAC!$B$9:$J$89</definedName>
    <definedName name="Liste" localSheetId="1">#REF!</definedName>
    <definedName name="Liste">#REF!</definedName>
    <definedName name="_xlnm.Print_Area" localSheetId="0">EOT!$A$1:$U$68</definedName>
    <definedName name="_xlnm.Print_Area" localSheetId="1">PAC!$A$1:$K$89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2" i="4" l="1"/>
</calcChain>
</file>

<file path=xl/sharedStrings.xml><?xml version="1.0" encoding="utf-8"?>
<sst xmlns="http://schemas.openxmlformats.org/spreadsheetml/2006/main" count="131" uniqueCount="75">
  <si>
    <t>Process</t>
  </si>
  <si>
    <t>Objectif</t>
  </si>
  <si>
    <t>Nature</t>
  </si>
  <si>
    <t>Signe</t>
  </si>
  <si>
    <t>Unité</t>
  </si>
  <si>
    <t>Indicatreur</t>
  </si>
  <si>
    <t>Formule de calcul</t>
  </si>
  <si>
    <t>P/R</t>
  </si>
  <si>
    <t>Seuil</t>
  </si>
  <si>
    <t>&lt;=</t>
  </si>
  <si>
    <t>%</t>
  </si>
  <si>
    <t>Prév</t>
  </si>
  <si>
    <t>Réal</t>
  </si>
  <si>
    <t>&gt;=</t>
  </si>
  <si>
    <t>Consommation d’eau</t>
  </si>
  <si>
    <r>
      <t>m</t>
    </r>
    <r>
      <rPr>
        <vertAlign val="superscript"/>
        <sz val="8"/>
        <color rgb="FF000000"/>
        <rFont val="Futura"/>
      </rPr>
      <t>3</t>
    </r>
  </si>
  <si>
    <t>Somme des consommations d’eau</t>
  </si>
  <si>
    <t>INFRASTRUCTURE
ONETECH</t>
  </si>
  <si>
    <r>
      <rPr>
        <b/>
        <sz val="8"/>
        <color rgb="FF000000"/>
        <rFont val="Futura"/>
      </rPr>
      <t>Temp d’arrêt prod suite panne Infra</t>
    </r>
    <r>
      <rPr>
        <sz val="8"/>
        <color rgb="FF000000"/>
        <rFont val="Futura"/>
      </rPr>
      <t xml:space="preserve"> (compresseurs, transformateurs, climatiseurs, TGBT, Monte charge, Bâche à eau, Unité traitement d’eau)</t>
    </r>
  </si>
  <si>
    <r>
      <rPr>
        <b/>
        <sz val="8"/>
        <color rgb="FF000000"/>
        <rFont val="Futura"/>
      </rPr>
      <t>MTTR</t>
    </r>
    <r>
      <rPr>
        <sz val="8"/>
        <color rgb="FF000000"/>
        <rFont val="Futura"/>
      </rPr>
      <t xml:space="preserve"> (compresseurs, transformateurs, climatiseurs, TGBT, Monte charge, Bâche à eau, Unité traitement d’eau)</t>
    </r>
  </si>
  <si>
    <r>
      <rPr>
        <b/>
        <sz val="8"/>
        <color rgb="FF000000"/>
        <rFont val="Futura"/>
      </rPr>
      <t>MTBF</t>
    </r>
    <r>
      <rPr>
        <sz val="8"/>
        <color rgb="FF000000"/>
        <rFont val="Futura"/>
      </rPr>
      <t xml:space="preserve"> (compresseurs, transformateurs, climatiseurs, TGBT, Monte charge, Bâche à eau, Unité traitement d’eau) </t>
    </r>
  </si>
  <si>
    <t>Valeurs stock PDR Infrastructure</t>
  </si>
  <si>
    <t>Coût des interventions</t>
  </si>
  <si>
    <t>Taux de réalisation préventif</t>
  </si>
  <si>
    <t>=</t>
  </si>
  <si>
    <t>heure</t>
  </si>
  <si>
    <t>TND</t>
  </si>
  <si>
    <t>Somme des arrêts</t>
  </si>
  <si>
    <t>Somme des arrêts / nbre des arrêts</t>
  </si>
  <si>
    <t>(Somme des Temps d’Ouverture - somme des arrêts) / nbre des arrêts</t>
  </si>
  <si>
    <t>Somme des valeurs des PDR infrastructure</t>
  </si>
  <si>
    <t>Somme coût (PDR + Prestation externe + contrats de maintenance)</t>
  </si>
  <si>
    <t>(Nbre des préventifs réalisés/Nbre des préventifs planifiés)×100</t>
  </si>
  <si>
    <t xml:space="preserve">Consommation d’électricité </t>
  </si>
  <si>
    <t>Kwh</t>
  </si>
  <si>
    <t xml:space="preserve">Somme des consommations d’électricité </t>
  </si>
  <si>
    <t>15000</t>
  </si>
  <si>
    <t>30000</t>
  </si>
  <si>
    <t>250000</t>
  </si>
  <si>
    <t>1</t>
  </si>
  <si>
    <t>Plan d'action</t>
  </si>
  <si>
    <t>Code :</t>
  </si>
  <si>
    <t>Date:</t>
  </si>
  <si>
    <t>Page :</t>
  </si>
  <si>
    <t xml:space="preserve">     Indicateurs de performance</t>
  </si>
  <si>
    <t>Date d'émission</t>
  </si>
  <si>
    <t>N°</t>
  </si>
  <si>
    <t>Thèmes</t>
  </si>
  <si>
    <t>Root cause</t>
  </si>
  <si>
    <t>Actions</t>
  </si>
  <si>
    <t xml:space="preserve">Pilote </t>
  </si>
  <si>
    <t>Délai</t>
  </si>
  <si>
    <t xml:space="preserve">Annuler l'action </t>
  </si>
  <si>
    <t xml:space="preserve">Status </t>
  </si>
  <si>
    <t>Efficacité</t>
  </si>
  <si>
    <t>Prévu</t>
  </si>
  <si>
    <t>réel</t>
  </si>
  <si>
    <t>JJ/MM/AA</t>
  </si>
  <si>
    <t>715</t>
  </si>
  <si>
    <t xml:space="preserve">Fuite d'eau </t>
  </si>
  <si>
    <t>Amélioration</t>
  </si>
  <si>
    <t>Consommation Electrique Elevé</t>
  </si>
  <si>
    <t>Réparation chasse d'eau Vestiaire Femme</t>
  </si>
  <si>
    <t>Réparation Conduite d'eau ( Bargataire Fissuré)</t>
  </si>
  <si>
    <t>Collecte eau Condesat Climatisation pour arrosage Jardin</t>
  </si>
  <si>
    <t>Programmation de mise en marche automatique des Climatisseurs.</t>
  </si>
  <si>
    <t>Changement éclairage Tube néant par Dalle 60/60</t>
  </si>
  <si>
    <t>Formation de chef d'équipe d'éteindre les Equipements après utilisations ( Fer a souder, Lampe loupe,Aspirataires, Eclairage poste de travail….)</t>
  </si>
  <si>
    <t>Optimisation de fonctionnement des compressurs : Elimination marche a vide</t>
  </si>
  <si>
    <t>Faouzi</t>
  </si>
  <si>
    <t>Dhiaddine</t>
  </si>
  <si>
    <t>En cours</t>
  </si>
  <si>
    <t>Clôturée</t>
  </si>
  <si>
    <t>Oui</t>
  </si>
  <si>
    <t>Partiellement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</si>
</sst>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FFC000"/>
      <name val="Aptos Narrow"/>
      <family val="2"/>
      <scheme val="minor"/>
    </font>
    <font>
      <b/>
      <sz val="8"/>
      <color rgb="FFFFFFFF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Futura"/>
    </font>
    <font>
      <sz val="8"/>
      <color rgb="FF000000"/>
      <name val="Futura"/>
    </font>
    <font>
      <sz val="9"/>
      <color rgb="FF000000"/>
      <name val="Futura"/>
    </font>
    <font>
      <b/>
      <sz val="11"/>
      <color theme="5"/>
      <name val="Calibri"/>
      <family val="2"/>
    </font>
    <font>
      <b/>
      <sz val="9"/>
      <color theme="5" tint="0.39997558519241921"/>
      <name val="Aptos Narrow"/>
      <family val="2"/>
      <scheme val="minor"/>
    </font>
    <font>
      <b/>
      <sz val="9"/>
      <color theme="1"/>
      <name val="Calibri"/>
      <family val="2"/>
    </font>
    <font>
      <sz val="9"/>
      <name val="Futura"/>
    </font>
    <font>
      <b/>
      <sz val="9"/>
      <color theme="1"/>
      <name val="Aptos Narrow"/>
      <family val="2"/>
      <scheme val="minor"/>
    </font>
    <font>
      <vertAlign val="superscript"/>
      <sz val="8"/>
      <color rgb="FF000000"/>
      <name val="Futura"/>
    </font>
    <font>
      <b/>
      <sz val="8"/>
      <color rgb="FF000000"/>
      <name val="Futura"/>
    </font>
    <font>
      <sz val="8"/>
      <name val="Arial"/>
      <family val="2"/>
    </font>
    <font>
      <b/>
      <sz val="20"/>
      <color rgb="FF002060"/>
      <name val="Arial"/>
      <family val="2"/>
    </font>
    <font>
      <b/>
      <sz val="36"/>
      <name val="Times New Roman"/>
      <family val="1"/>
    </font>
    <font>
      <sz val="10"/>
      <name val="Times New Roman"/>
      <family val="1"/>
    </font>
    <font>
      <i/>
      <sz val="8"/>
      <name val="Arial"/>
      <family val="2"/>
    </font>
    <font>
      <i/>
      <sz val="16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Myriad Regular"/>
    </font>
    <font>
      <b/>
      <sz val="12"/>
      <name val="Myriad Regular"/>
      <family val="2"/>
    </font>
    <font>
      <sz val="14"/>
      <name val="Myriad Regular"/>
    </font>
    <font>
      <sz val="12"/>
      <name val="Arial"/>
      <family val="2"/>
    </font>
    <font>
      <sz val="16"/>
      <color theme="1"/>
      <name val="Aptos Narrow"/>
      <family val="2"/>
      <scheme val="minor"/>
    </font>
    <font>
      <sz val="12"/>
      <color rgb="FF002060"/>
      <name val="Arial"/>
      <family val="2"/>
    </font>
    <font>
      <b/>
      <sz val="12"/>
      <color rgb="FF00206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/>
        <bgColor rgb="FF97B088"/>
      </patternFill>
    </fill>
    <fill>
      <patternFill patternType="solid">
        <fgColor rgb="FFB4C6E7"/>
        <bgColor rgb="FFB4C6E7"/>
      </patternFill>
    </fill>
    <fill>
      <patternFill patternType="solid">
        <fgColor theme="7" tint="0.59999389629810485"/>
        <bgColor rgb="FFB4C6E7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rgb="FFFFC000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249977111117893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3" borderId="0" applyNumberFormat="0" applyFont="0" applyBorder="0" applyAlignment="0" applyProtection="0"/>
    <xf numFmtId="9" fontId="4" fillId="0" borderId="0" applyFont="0" applyFill="0" applyBorder="0" applyAlignment="0" applyProtection="0"/>
    <xf numFmtId="0" fontId="4" fillId="6" borderId="0" applyNumberFormat="0" applyFont="0" applyBorder="0" applyAlignment="0" applyProtection="0"/>
    <xf numFmtId="0" fontId="4" fillId="7" borderId="0" applyNumberFormat="0" applyFont="0" applyBorder="0" applyAlignment="0" applyProtection="0"/>
  </cellStyleXfs>
  <cellXfs count="94">
    <xf numFmtId="0" fontId="0" fillId="0" borderId="0" xfId="0"/>
    <xf numFmtId="0" fontId="2" fillId="0" borderId="1" xfId="0" applyFont="1" applyBorder="1" applyAlignment="1">
      <alignment horizontal="center"/>
    </xf>
    <xf numFmtId="17" fontId="3" fillId="2" borderId="2" xfId="0" applyNumberFormat="1" applyFont="1" applyFill="1" applyBorder="1" applyAlignment="1">
      <alignment horizontal="center" vertical="center" wrapText="1" readingOrder="1"/>
    </xf>
    <xf numFmtId="9" fontId="8" fillId="4" borderId="4" xfId="2" applyNumberFormat="1" applyFont="1" applyFill="1" applyBorder="1" applyAlignment="1">
      <alignment horizontal="center" vertical="center" wrapText="1" readingOrder="1"/>
    </xf>
    <xf numFmtId="9" fontId="8" fillId="4" borderId="3" xfId="2" applyNumberFormat="1" applyFont="1" applyFill="1" applyBorder="1" applyAlignment="1">
      <alignment horizontal="center" vertical="center" wrapText="1" readingOrder="1"/>
    </xf>
    <xf numFmtId="9" fontId="9" fillId="5" borderId="3" xfId="1" applyFont="1" applyFill="1" applyBorder="1" applyAlignment="1">
      <alignment horizontal="center" vertical="center" wrapText="1" readingOrder="1"/>
    </xf>
    <xf numFmtId="49" fontId="0" fillId="0" borderId="0" xfId="0" applyNumberFormat="1"/>
    <xf numFmtId="49" fontId="2" fillId="0" borderId="1" xfId="0" applyNumberFormat="1" applyFont="1" applyBorder="1" applyAlignment="1">
      <alignment horizontal="center"/>
    </xf>
    <xf numFmtId="0" fontId="9" fillId="5" borderId="3" xfId="1" applyNumberFormat="1" applyFont="1" applyFill="1" applyBorder="1" applyAlignment="1">
      <alignment horizontal="center" vertical="center" wrapText="1" readingOrder="1"/>
    </xf>
    <xf numFmtId="0" fontId="9" fillId="5" borderId="3" xfId="2" applyNumberFormat="1" applyFont="1" applyFill="1" applyBorder="1" applyAlignment="1">
      <alignment horizontal="center" vertical="center" wrapText="1" readingOrder="1"/>
    </xf>
    <xf numFmtId="0" fontId="15" fillId="8" borderId="0" xfId="0" applyFont="1" applyFill="1" applyAlignment="1">
      <alignment vertical="center" wrapText="1"/>
    </xf>
    <xf numFmtId="0" fontId="15" fillId="8" borderId="0" xfId="0" applyFont="1" applyFill="1" applyAlignment="1">
      <alignment horizontal="left" vertical="center" wrapText="1"/>
    </xf>
    <xf numFmtId="0" fontId="16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18" fillId="8" borderId="7" xfId="0" applyFont="1" applyFill="1" applyBorder="1" applyAlignment="1">
      <alignment horizontal="left" vertical="center" wrapText="1"/>
    </xf>
    <xf numFmtId="0" fontId="18" fillId="8" borderId="8" xfId="0" applyFont="1" applyFill="1" applyBorder="1" applyAlignment="1">
      <alignment horizontal="left" vertical="center" wrapText="1"/>
    </xf>
    <xf numFmtId="0" fontId="16" fillId="8" borderId="0" xfId="0" applyFont="1" applyFill="1" applyAlignment="1">
      <alignment horizontal="center" vertical="center"/>
    </xf>
    <xf numFmtId="0" fontId="18" fillId="8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8" borderId="0" xfId="0" applyFont="1" applyFill="1" applyAlignment="1">
      <alignment vertical="top" wrapText="1"/>
    </xf>
    <xf numFmtId="0" fontId="20" fillId="8" borderId="0" xfId="0" applyFont="1" applyFill="1" applyAlignment="1">
      <alignment horizontal="left" vertical="center" wrapText="1"/>
    </xf>
    <xf numFmtId="0" fontId="15" fillId="8" borderId="0" xfId="0" applyFont="1" applyFill="1"/>
    <xf numFmtId="0" fontId="21" fillId="8" borderId="0" xfId="0" applyFont="1" applyFill="1" applyAlignment="1">
      <alignment vertical="center" wrapText="1"/>
    </xf>
    <xf numFmtId="9" fontId="22" fillId="8" borderId="0" xfId="1" applyFont="1" applyFill="1" applyBorder="1" applyAlignment="1" applyProtection="1">
      <alignment horizontal="center" vertical="center" wrapText="1"/>
    </xf>
    <xf numFmtId="0" fontId="15" fillId="0" borderId="0" xfId="0" applyFont="1"/>
    <xf numFmtId="0" fontId="23" fillId="8" borderId="0" xfId="0" applyFont="1" applyFill="1" applyAlignment="1">
      <alignment vertical="top" wrapText="1"/>
    </xf>
    <xf numFmtId="0" fontId="0" fillId="8" borderId="0" xfId="0" applyFill="1"/>
    <xf numFmtId="0" fontId="0" fillId="8" borderId="10" xfId="0" applyFill="1" applyBorder="1"/>
    <xf numFmtId="0" fontId="26" fillId="9" borderId="7" xfId="0" applyFont="1" applyFill="1" applyBorder="1" applyAlignment="1">
      <alignment horizontal="center" vertical="center" wrapText="1"/>
    </xf>
    <xf numFmtId="164" fontId="27" fillId="0" borderId="7" xfId="0" applyNumberFormat="1" applyFont="1" applyBorder="1" applyAlignment="1" applyProtection="1">
      <alignment horizontal="center" vertical="center" wrapText="1"/>
      <protection locked="0"/>
    </xf>
    <xf numFmtId="0" fontId="28" fillId="0" borderId="7" xfId="0" applyFont="1" applyBorder="1" applyAlignment="1">
      <alignment horizontal="center" vertical="center"/>
    </xf>
    <xf numFmtId="0" fontId="29" fillId="0" borderId="7" xfId="0" applyFont="1" applyBorder="1" applyAlignment="1" applyProtection="1">
      <alignment vertical="center" wrapText="1"/>
      <protection locked="0"/>
    </xf>
    <xf numFmtId="0" fontId="30" fillId="0" borderId="7" xfId="0" applyFont="1" applyBorder="1" applyAlignment="1" applyProtection="1">
      <alignment vertical="center" wrapText="1"/>
      <protection locked="0"/>
    </xf>
    <xf numFmtId="0" fontId="30" fillId="0" borderId="7" xfId="0" applyFont="1" applyBorder="1" applyAlignment="1" applyProtection="1">
      <alignment horizontal="left" vertical="center" wrapText="1"/>
      <protection locked="0"/>
    </xf>
    <xf numFmtId="0" fontId="24" fillId="0" borderId="7" xfId="0" applyFont="1" applyBorder="1" applyAlignment="1" applyProtection="1">
      <alignment horizontal="center" vertical="center" wrapText="1"/>
      <protection locked="0"/>
    </xf>
    <xf numFmtId="14" fontId="24" fillId="0" borderId="7" xfId="0" applyNumberFormat="1" applyFont="1" applyBorder="1" applyAlignment="1" applyProtection="1">
      <alignment horizontal="center" vertical="center" wrapText="1"/>
      <protection locked="0"/>
    </xf>
    <xf numFmtId="9" fontId="24" fillId="0" borderId="7" xfId="0" applyNumberFormat="1" applyFont="1" applyBorder="1" applyAlignment="1" applyProtection="1">
      <alignment horizontal="center" vertical="center" wrapText="1"/>
      <protection locked="0"/>
    </xf>
    <xf numFmtId="0" fontId="31" fillId="8" borderId="7" xfId="0" applyFont="1" applyFill="1" applyBorder="1" applyAlignment="1" applyProtection="1">
      <alignment horizontal="left" vertical="center"/>
      <protection locked="0"/>
    </xf>
    <xf numFmtId="0" fontId="32" fillId="0" borderId="7" xfId="0" applyFont="1" applyBorder="1" applyAlignment="1" applyProtection="1">
      <alignment vertical="center" wrapText="1"/>
      <protection locked="0"/>
    </xf>
    <xf numFmtId="0" fontId="33" fillId="0" borderId="7" xfId="0" applyFont="1" applyBorder="1" applyAlignment="1" applyProtection="1">
      <alignment horizontal="center" vertical="center" wrapText="1"/>
      <protection locked="0"/>
    </xf>
    <xf numFmtId="14" fontId="33" fillId="0" borderId="7" xfId="0" applyNumberFormat="1" applyFont="1" applyBorder="1" applyAlignment="1" applyProtection="1">
      <alignment horizontal="center" vertical="center" wrapText="1"/>
      <protection locked="0"/>
    </xf>
    <xf numFmtId="0" fontId="34" fillId="0" borderId="7" xfId="0" applyFont="1" applyBorder="1" applyAlignment="1" applyProtection="1">
      <alignment horizontal="left" vertical="center" wrapText="1"/>
      <protection locked="0"/>
    </xf>
    <xf numFmtId="0" fontId="35" fillId="0" borderId="7" xfId="0" applyFont="1" applyBorder="1" applyAlignment="1" applyProtection="1">
      <alignment horizontal="center" vertical="center" wrapText="1"/>
      <protection locked="0"/>
    </xf>
    <xf numFmtId="14" fontId="35" fillId="0" borderId="7" xfId="0" applyNumberFormat="1" applyFont="1" applyBorder="1" applyAlignment="1" applyProtection="1">
      <alignment horizontal="center" vertical="center" wrapText="1"/>
      <protection locked="0"/>
    </xf>
    <xf numFmtId="0" fontId="36" fillId="0" borderId="7" xfId="0" applyFont="1" applyBorder="1" applyAlignment="1" applyProtection="1">
      <alignment horizontal="left" vertical="center" wrapText="1"/>
      <protection locked="0"/>
    </xf>
    <xf numFmtId="0" fontId="37" fillId="0" borderId="7" xfId="0" applyFont="1" applyBorder="1" applyAlignment="1" applyProtection="1">
      <alignment horizontal="center" vertical="center" wrapText="1"/>
      <protection locked="0"/>
    </xf>
    <xf numFmtId="14" fontId="37" fillId="0" borderId="7" xfId="0" applyNumberFormat="1" applyFont="1" applyBorder="1" applyAlignment="1" applyProtection="1">
      <alignment horizontal="center" vertical="center" wrapText="1"/>
      <protection locked="0"/>
    </xf>
    <xf numFmtId="0" fontId="35" fillId="0" borderId="7" xfId="0" applyFont="1" applyBorder="1" applyAlignment="1" applyProtection="1">
      <alignment horizontal="left" vertical="center" wrapText="1"/>
      <protection locked="0"/>
    </xf>
    <xf numFmtId="0" fontId="30" fillId="0" borderId="7" xfId="0" applyFont="1" applyBorder="1" applyAlignment="1" applyProtection="1">
      <alignment horizontal="center" vertical="center" wrapText="1"/>
      <protection locked="0"/>
    </xf>
    <xf numFmtId="0" fontId="29" fillId="0" borderId="7" xfId="0" applyFont="1" applyBorder="1" applyAlignment="1" applyProtection="1">
      <alignment horizontal="left" vertical="center" wrapText="1"/>
      <protection locked="0"/>
    </xf>
    <xf numFmtId="1" fontId="0" fillId="0" borderId="0" xfId="0" applyNumberFormat="1"/>
    <xf numFmtId="0" fontId="9" fillId="5" borderId="15" xfId="1" applyNumberFormat="1" applyFont="1" applyFill="1" applyBorder="1" applyAlignment="1">
      <alignment horizontal="center" vertical="center" wrapText="1" readingOrder="1"/>
    </xf>
    <xf numFmtId="10" fontId="6" fillId="4" borderId="3" xfId="2" applyNumberFormat="1" applyFont="1" applyFill="1" applyBorder="1" applyAlignment="1">
      <alignment horizontal="center" vertical="center" wrapText="1" readingOrder="1"/>
    </xf>
    <xf numFmtId="0" fontId="14" fillId="4" borderId="6" xfId="2" applyFont="1" applyFill="1" applyBorder="1" applyAlignment="1">
      <alignment horizontal="left" vertical="center" wrapText="1" readingOrder="1"/>
    </xf>
    <xf numFmtId="0" fontId="6" fillId="4" borderId="4" xfId="2" applyFont="1" applyFill="1" applyBorder="1" applyAlignment="1">
      <alignment horizontal="left" vertical="center" wrapText="1" readingOrder="1"/>
    </xf>
    <xf numFmtId="0" fontId="6" fillId="4" borderId="3" xfId="2" applyFont="1" applyFill="1" applyBorder="1" applyAlignment="1">
      <alignment horizontal="center" vertical="center" wrapText="1" readingOrder="1"/>
    </xf>
    <xf numFmtId="49" fontId="7" fillId="4" borderId="6" xfId="2" applyNumberFormat="1" applyFont="1" applyFill="1" applyBorder="1" applyAlignment="1">
      <alignment horizontal="center" vertical="center" wrapText="1" readingOrder="1"/>
    </xf>
    <xf numFmtId="49" fontId="7" fillId="4" borderId="4" xfId="2" applyNumberFormat="1" applyFont="1" applyFill="1" applyBorder="1" applyAlignment="1">
      <alignment horizontal="center" vertical="center" wrapText="1" readingOrder="1"/>
    </xf>
    <xf numFmtId="0" fontId="6" fillId="4" borderId="6" xfId="2" applyFont="1" applyFill="1" applyBorder="1" applyAlignment="1">
      <alignment horizontal="center" vertical="center" wrapText="1" readingOrder="1"/>
    </xf>
    <xf numFmtId="0" fontId="6" fillId="4" borderId="4" xfId="2" applyFont="1" applyFill="1" applyBorder="1" applyAlignment="1">
      <alignment horizontal="center" vertical="center" wrapText="1" readingOrder="1"/>
    </xf>
    <xf numFmtId="0" fontId="7" fillId="4" borderId="6" xfId="2" applyNumberFormat="1" applyFont="1" applyFill="1" applyBorder="1" applyAlignment="1">
      <alignment horizontal="center" vertical="center" wrapText="1" readingOrder="1"/>
    </xf>
    <xf numFmtId="0" fontId="14" fillId="4" borderId="3" xfId="2" applyFont="1" applyFill="1" applyBorder="1" applyAlignment="1">
      <alignment horizontal="left" vertical="center" wrapText="1" readingOrder="1"/>
    </xf>
    <xf numFmtId="0" fontId="6" fillId="4" borderId="3" xfId="2" applyFont="1" applyFill="1" applyBorder="1" applyAlignment="1">
      <alignment horizontal="left" vertical="center" wrapText="1" readingOrder="1"/>
    </xf>
    <xf numFmtId="49" fontId="7" fillId="4" borderId="3" xfId="2" applyNumberFormat="1" applyFont="1" applyFill="1" applyBorder="1" applyAlignment="1">
      <alignment horizontal="center" vertical="center" wrapText="1" readingOrder="1"/>
    </xf>
    <xf numFmtId="9" fontId="7" fillId="4" borderId="3" xfId="2" applyNumberFormat="1" applyFont="1" applyFill="1" applyBorder="1" applyAlignment="1">
      <alignment horizontal="center" vertical="center" wrapText="1" readingOrder="1"/>
    </xf>
    <xf numFmtId="49" fontId="11" fillId="4" borderId="3" xfId="2" applyNumberFormat="1" applyFont="1" applyFill="1" applyBorder="1" applyAlignment="1">
      <alignment horizontal="center" vertical="center" wrapText="1" readingOrder="1"/>
    </xf>
    <xf numFmtId="10" fontId="6" fillId="4" borderId="5" xfId="2" applyNumberFormat="1" applyFont="1" applyFill="1" applyBorder="1" applyAlignment="1">
      <alignment horizontal="center" vertical="center" wrapText="1" readingOrder="1"/>
    </xf>
    <xf numFmtId="0" fontId="6" fillId="4" borderId="6" xfId="2" applyFont="1" applyFill="1" applyBorder="1" applyAlignment="1">
      <alignment horizontal="left" vertical="center" wrapText="1" readingOrder="1"/>
    </xf>
    <xf numFmtId="10" fontId="6" fillId="4" borderId="4" xfId="2" applyNumberFormat="1" applyFont="1" applyFill="1" applyBorder="1" applyAlignment="1">
      <alignment horizontal="center" vertical="center" wrapText="1" readingOrder="1"/>
    </xf>
    <xf numFmtId="0" fontId="7" fillId="4" borderId="4" xfId="2" applyNumberFormat="1" applyFont="1" applyFill="1" applyBorder="1" applyAlignment="1">
      <alignment horizontal="center" vertical="center" wrapText="1" readingOrder="1"/>
    </xf>
    <xf numFmtId="0" fontId="5" fillId="4" borderId="4" xfId="2" applyFont="1" applyFill="1" applyBorder="1" applyAlignment="1">
      <alignment horizontal="center" vertical="center" textRotation="90" wrapText="1" readingOrder="1"/>
    </xf>
    <xf numFmtId="0" fontId="5" fillId="4" borderId="3" xfId="2" applyFont="1" applyFill="1" applyBorder="1" applyAlignment="1">
      <alignment horizontal="center" vertical="center" textRotation="90" wrapText="1" readingOrder="1"/>
    </xf>
    <xf numFmtId="0" fontId="25" fillId="9" borderId="8" xfId="0" applyFont="1" applyFill="1" applyBorder="1" applyAlignment="1">
      <alignment horizontal="center" vertical="center" wrapText="1"/>
    </xf>
    <xf numFmtId="0" fontId="25" fillId="9" borderId="13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164" fontId="24" fillId="9" borderId="7" xfId="0" applyNumberFormat="1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/>
    </xf>
    <xf numFmtId="0" fontId="24" fillId="9" borderId="13" xfId="0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 wrapText="1"/>
    </xf>
    <xf numFmtId="0" fontId="24" fillId="9" borderId="13" xfId="0" applyFont="1" applyFill="1" applyBorder="1" applyAlignment="1">
      <alignment horizontal="center" vertical="center" wrapText="1"/>
    </xf>
    <xf numFmtId="0" fontId="24" fillId="9" borderId="14" xfId="0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 wrapText="1"/>
    </xf>
    <xf numFmtId="0" fontId="24" fillId="9" borderId="11" xfId="0" applyFont="1" applyFill="1" applyBorder="1" applyAlignment="1">
      <alignment horizontal="center" vertical="center" wrapText="1"/>
    </xf>
    <xf numFmtId="0" fontId="24" fillId="9" borderId="12" xfId="0" applyFont="1" applyFill="1" applyBorder="1" applyAlignment="1">
      <alignment horizontal="center" vertical="center" wrapText="1"/>
    </xf>
    <xf numFmtId="9" fontId="24" fillId="9" borderId="8" xfId="0" applyNumberFormat="1" applyFont="1" applyFill="1" applyBorder="1" applyAlignment="1">
      <alignment horizontal="center" vertical="center" textRotation="90" wrapText="1"/>
    </xf>
    <xf numFmtId="9" fontId="24" fillId="9" borderId="13" xfId="0" applyNumberFormat="1" applyFont="1" applyFill="1" applyBorder="1" applyAlignment="1">
      <alignment horizontal="center" vertical="center" textRotation="90" wrapText="1"/>
    </xf>
    <xf numFmtId="9" fontId="24" fillId="9" borderId="14" xfId="0" applyNumberFormat="1" applyFont="1" applyFill="1" applyBorder="1" applyAlignment="1">
      <alignment horizontal="center" vertical="center" textRotation="90" wrapText="1"/>
    </xf>
    <xf numFmtId="0" fontId="10" fillId="0" borderId="3" xfId="3" applyNumberFormat="1" applyFont="1" applyFill="1" applyBorder="1" applyAlignment="1">
      <alignment horizontal="center" vertical="center" wrapText="1" readingOrder="1"/>
    </xf>
    <xf numFmtId="0" fontId="12" fillId="0" borderId="3" xfId="2" applyNumberFormat="1" applyFont="1" applyFill="1" applyBorder="1" applyAlignment="1">
      <alignment horizontal="center" vertical="center" wrapText="1" readingOrder="1"/>
    </xf>
    <xf numFmtId="9" fontId="12" fillId="0" borderId="3" xfId="2" applyNumberFormat="1" applyFont="1" applyFill="1" applyBorder="1" applyAlignment="1">
      <alignment horizontal="center" vertical="center" wrapText="1" readingOrder="1"/>
    </xf>
  </cellXfs>
  <cellStyles count="6">
    <cellStyle name="20 % - Accent1 2" xfId="5" xr:uid="{93F7968C-B0A8-4C70-9EB8-B62C0988B273}"/>
    <cellStyle name="20 % - Accent5 2" xfId="4" xr:uid="{AB892810-B737-48D4-AC60-FA9E50DED04D}"/>
    <cellStyle name="40 % - Accent1 2" xfId="2" xr:uid="{A6D5C22E-DA3D-4461-A8F5-F7FEB18395A6}"/>
    <cellStyle name="Normal" xfId="0" builtinId="0"/>
    <cellStyle name="Pourcentage" xfId="1" builtinId="5"/>
    <cellStyle name="Pourcentage 2" xfId="3" xr:uid="{814F3F49-92BD-4CE6-BB8B-ACDBB4D2159B}"/>
  </cellStyles>
  <dxfs count="5">
    <dxf>
      <font>
        <color auto="1"/>
      </font>
      <fill>
        <patternFill>
          <bgColor rgb="FF00FF00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400">
                <a:latin typeface="Arial Narrow" panose="020B0606020202030204" pitchFamily="34" charset="0"/>
              </a:rPr>
              <a:t>Temp d’arrêt prod suite panne Infra</a:t>
            </a:r>
          </a:p>
        </c:rich>
      </c:tx>
      <c:layout>
        <c:manualLayout>
          <c:xMode val="edge"/>
          <c:yMode val="edge"/>
          <c:x val="0.13857925003938867"/>
          <c:y val="3.68802829876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EOT!$J$4:$U$4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3353-466F-8E21-80BBB88161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6418704"/>
        <c:axId val="216429528"/>
      </c:barChart>
      <c:lineChart>
        <c:grouping val="standard"/>
        <c:varyColors val="0"/>
        <c:ser>
          <c:idx val="1"/>
          <c:order val="1"/>
          <c:tx>
            <c:v>Objectif</c:v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73866991052092434"/>
                  <c:y val="-6.091462093801401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6340B55-9D04-4184-B151-4AD20A110E88}" type="VALUE">
                      <a:rPr lang="en-US">
                        <a:solidFill>
                          <a:srgbClr val="00B05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[VALEUR]</a:t>
                    </a:fld>
                    <a:endParaRPr lang="fr-F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353-466F-8E21-80BBB88161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EOT!$J$3:$U$3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3-466F-8E21-80BBB88161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6418704"/>
        <c:axId val="216429528"/>
      </c:lineChart>
      <c:dateAx>
        <c:axId val="2164187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fr-FR"/>
          </a:p>
        </c:txPr>
        <c:crossAx val="216429528"/>
        <c:crosses val="autoZero"/>
        <c:auto val="1"/>
        <c:lblOffset val="100"/>
        <c:baseTimeUnit val="months"/>
      </c:dateAx>
      <c:valAx>
        <c:axId val="2164295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641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400"/>
              <a:t>MTBF</a:t>
            </a:r>
          </a:p>
        </c:rich>
      </c:tx>
      <c:layout>
        <c:manualLayout>
          <c:xMode val="edge"/>
          <c:yMode val="edge"/>
          <c:x val="0.4430443125169099"/>
          <c:y val="3.6896724035746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2.99054328988019E-2"/>
          <c:y val="0.15745396016883967"/>
          <c:w val="0.94018913420239625"/>
          <c:h val="0.700853894236052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EOT!$J$8:$U$8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216-4F60-A705-7A3F770CAA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6418704"/>
        <c:axId val="216429528"/>
      </c:barChart>
      <c:lineChart>
        <c:grouping val="standard"/>
        <c:varyColors val="0"/>
        <c:ser>
          <c:idx val="1"/>
          <c:order val="1"/>
          <c:tx>
            <c:v>Objectif</c:v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16-4F60-A705-7A3F770CAA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16-4F60-A705-7A3F770CAA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16-4F60-A705-7A3F770CAA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16-4F60-A705-7A3F770CAA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16-4F60-A705-7A3F770CAAC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16-4F60-A705-7A3F770CAAC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16-4F60-A705-7A3F770CAAC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216-4F60-A705-7A3F770CAAC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16-4F60-A705-7A3F770CAAC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216-4F60-A705-7A3F770CAAC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216-4F60-A705-7A3F770CAACF}"/>
                </c:ext>
              </c:extLst>
            </c:dLbl>
            <c:dLbl>
              <c:idx val="11"/>
              <c:layout>
                <c:manualLayout>
                  <c:x val="-3.294892915980243E-2"/>
                  <c:y val="-3.8494603367292698E-2"/>
                </c:manualLayout>
              </c:layout>
              <c:tx>
                <c:rich>
                  <a:bodyPr/>
                  <a:lstStyle/>
                  <a:p>
                    <a:fld id="{FE6629AF-BF66-47E9-8F21-D1DBF3698498}" type="VALUE">
                      <a:rPr lang="en-US">
                        <a:solidFill>
                          <a:srgbClr val="00B050"/>
                        </a:solidFill>
                      </a:rPr>
                      <a:pPr/>
                      <a:t>[VALEUR]</a:t>
                    </a:fld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2216-4F60-A705-7A3F770CAA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12"/>
              <c:pt idx="0">
                <c:v>44562</c:v>
              </c:pt>
              <c:pt idx="1">
                <c:v>44593</c:v>
              </c:pt>
              <c:pt idx="2">
                <c:v>44621</c:v>
              </c:pt>
              <c:pt idx="3">
                <c:v>44652</c:v>
              </c:pt>
              <c:pt idx="4">
                <c:v>44682</c:v>
              </c:pt>
              <c:pt idx="5">
                <c:v>44713</c:v>
              </c:pt>
              <c:pt idx="6">
                <c:v>44743</c:v>
              </c:pt>
              <c:pt idx="7">
                <c:v>44774</c:v>
              </c:pt>
              <c:pt idx="8">
                <c:v>44805</c:v>
              </c:pt>
              <c:pt idx="9">
                <c:v>44835</c:v>
              </c:pt>
              <c:pt idx="10">
                <c:v>44866</c:v>
              </c:pt>
              <c:pt idx="11">
                <c:v>44896</c:v>
              </c:pt>
            </c:numLit>
          </c:cat>
          <c:val>
            <c:numRef>
              <c:f>EOT!$J$7:$U$7</c:f>
              <c:numCache>
                <c:formatCode>General</c:formatCode>
                <c:ptCount val="12"/>
                <c:pt idx="0">
                  <c:v>715</c:v>
                </c:pt>
                <c:pt idx="1">
                  <c:v>715</c:v>
                </c:pt>
                <c:pt idx="2">
                  <c:v>715</c:v>
                </c:pt>
                <c:pt idx="3">
                  <c:v>715</c:v>
                </c:pt>
                <c:pt idx="4">
                  <c:v>715</c:v>
                </c:pt>
                <c:pt idx="5">
                  <c:v>715</c:v>
                </c:pt>
                <c:pt idx="6">
                  <c:v>715</c:v>
                </c:pt>
                <c:pt idx="7">
                  <c:v>715</c:v>
                </c:pt>
                <c:pt idx="8">
                  <c:v>715</c:v>
                </c:pt>
                <c:pt idx="9">
                  <c:v>715</c:v>
                </c:pt>
                <c:pt idx="10">
                  <c:v>715</c:v>
                </c:pt>
                <c:pt idx="11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216-4F60-A705-7A3F770CAA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6418704"/>
        <c:axId val="216429528"/>
      </c:lineChart>
      <c:dateAx>
        <c:axId val="2164187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fr-FR"/>
          </a:p>
        </c:txPr>
        <c:crossAx val="216429528"/>
        <c:crosses val="autoZero"/>
        <c:auto val="1"/>
        <c:lblOffset val="100"/>
        <c:baseTimeUnit val="months"/>
      </c:dateAx>
      <c:valAx>
        <c:axId val="2164295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64187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Arial Narrow" panose="020B0606020202030204" pitchFamily="34" charset="0"/>
              </a:rPr>
              <a:t>Valeurs stock PDR Infrastructure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2.99054328988019E-2"/>
          <c:y val="0.15745396016883967"/>
          <c:w val="0.94018913420239625"/>
          <c:h val="0.700853894236052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>
                  <a:alpha val="85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F-4D63-B173-E73084843937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>
                  <a:alpha val="85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F-4D63-B173-E73084843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EOT!$J$10:$U$10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2AEF-4D63-B173-E730848439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6418704"/>
        <c:axId val="216429528"/>
      </c:barChart>
      <c:lineChart>
        <c:grouping val="standard"/>
        <c:varyColors val="0"/>
        <c:ser>
          <c:idx val="1"/>
          <c:order val="1"/>
          <c:tx>
            <c:v>Objectif</c:v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EF-4D63-B173-E730848439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AEF-4D63-B173-E7308484393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EF-4D63-B173-E7308484393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EF-4D63-B173-E7308484393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EF-4D63-B173-E7308484393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AEF-4D63-B173-E7308484393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AEF-4D63-B173-E7308484393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AEF-4D63-B173-E7308484393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AEF-4D63-B173-E7308484393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AEF-4D63-B173-E7308484393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AEF-4D63-B173-E73084843937}"/>
                </c:ext>
              </c:extLst>
            </c:dLbl>
            <c:dLbl>
              <c:idx val="11"/>
              <c:layout>
                <c:manualLayout>
                  <c:x val="-3.9867109634551492E-2"/>
                  <c:y val="-5.76725275174399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AEF-4D63-B173-E730848439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12"/>
              <c:pt idx="0">
                <c:v>44562</c:v>
              </c:pt>
              <c:pt idx="1">
                <c:v>44593</c:v>
              </c:pt>
              <c:pt idx="2">
                <c:v>44621</c:v>
              </c:pt>
              <c:pt idx="3">
                <c:v>44652</c:v>
              </c:pt>
              <c:pt idx="4">
                <c:v>44682</c:v>
              </c:pt>
              <c:pt idx="5">
                <c:v>44713</c:v>
              </c:pt>
              <c:pt idx="6">
                <c:v>44743</c:v>
              </c:pt>
              <c:pt idx="7">
                <c:v>44774</c:v>
              </c:pt>
              <c:pt idx="8">
                <c:v>44805</c:v>
              </c:pt>
              <c:pt idx="9">
                <c:v>44835</c:v>
              </c:pt>
              <c:pt idx="10">
                <c:v>44866</c:v>
              </c:pt>
              <c:pt idx="11">
                <c:v>44896</c:v>
              </c:pt>
            </c:numLit>
          </c:cat>
          <c:val>
            <c:numRef>
              <c:f>EOT!$J$9:$U$9</c:f>
              <c:numCache>
                <c:formatCode>General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AEF-4D63-B173-E730848439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6418704"/>
        <c:axId val="216429528"/>
      </c:lineChart>
      <c:dateAx>
        <c:axId val="2164187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fr-FR"/>
          </a:p>
        </c:txPr>
        <c:crossAx val="216429528"/>
        <c:crosses val="autoZero"/>
        <c:auto val="1"/>
        <c:lblOffset val="100"/>
        <c:baseTimeUnit val="months"/>
      </c:dateAx>
      <c:valAx>
        <c:axId val="2164295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64187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Arial Narrow" panose="020B0606020202030204" pitchFamily="34" charset="0"/>
              </a:rPr>
              <a:t>Consommation d’électricité</a:t>
            </a:r>
          </a:p>
        </c:rich>
      </c:tx>
      <c:layout>
        <c:manualLayout>
          <c:xMode val="edge"/>
          <c:yMode val="edge"/>
          <c:x val="0.21351877785995113"/>
          <c:y val="3.6880335493959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0000">
                  <a:alpha val="85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72-47B2-8192-614D9DDAAF54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>
                  <a:alpha val="85000"/>
                </a:srgbClr>
              </a:solidFill>
              <a:ln w="9525" cap="flat" cmpd="sng" algn="ctr">
                <a:solidFill>
                  <a:srgbClr val="FF0000">
                    <a:alpha val="5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72-47B2-8192-614D9DDAAF54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>
                  <a:alpha val="85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72-47B2-8192-614D9DDAAF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EOT!$J$16:$U$16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B972-47B2-8192-614D9DDAAF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6418704"/>
        <c:axId val="216429528"/>
      </c:barChart>
      <c:lineChart>
        <c:grouping val="standard"/>
        <c:varyColors val="0"/>
        <c:ser>
          <c:idx val="1"/>
          <c:order val="1"/>
          <c:tx>
            <c:v>Objectif</c:v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0"/>
                  <c:y val="-7.0814421607877681E-2"/>
                </c:manualLayout>
              </c:layout>
              <c:tx>
                <c:rich>
                  <a:bodyPr/>
                  <a:lstStyle/>
                  <a:p>
                    <a:fld id="{3579B502-0E89-4F94-8F40-6123792E8D57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[VALEUR]</a:t>
                    </a:fld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B972-47B2-8192-614D9DDAAF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EOT!$J$15:$U$15</c:f>
              <c:numCache>
                <c:formatCode>General</c:formatCode>
                <c:ptCount val="12"/>
                <c:pt idx="0">
                  <c:v>250000</c:v>
                </c:pt>
                <c:pt idx="1">
                  <c:v>250000</c:v>
                </c:pt>
                <c:pt idx="2">
                  <c:v>250000</c:v>
                </c:pt>
                <c:pt idx="3">
                  <c:v>250000</c:v>
                </c:pt>
                <c:pt idx="4">
                  <c:v>270000</c:v>
                </c:pt>
                <c:pt idx="5">
                  <c:v>270000</c:v>
                </c:pt>
                <c:pt idx="6">
                  <c:v>270000</c:v>
                </c:pt>
                <c:pt idx="7">
                  <c:v>270000</c:v>
                </c:pt>
                <c:pt idx="8">
                  <c:v>270000</c:v>
                </c:pt>
                <c:pt idx="9">
                  <c:v>250000</c:v>
                </c:pt>
                <c:pt idx="10">
                  <c:v>250000</c:v>
                </c:pt>
                <c:pt idx="11">
                  <c:v>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72-47B2-8192-614D9DDAAF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6418704"/>
        <c:axId val="216429528"/>
      </c:lineChart>
      <c:dateAx>
        <c:axId val="2164187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fr-FR"/>
          </a:p>
        </c:txPr>
        <c:crossAx val="216429528"/>
        <c:crosses val="autoZero"/>
        <c:auto val="1"/>
        <c:lblOffset val="100"/>
        <c:baseTimeUnit val="months"/>
      </c:dateAx>
      <c:valAx>
        <c:axId val="2164295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641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400">
                <a:latin typeface="Arial Narrow" panose="020B0606020202030204" pitchFamily="34" charset="0"/>
              </a:rPr>
              <a:t>Consommation d’eau</a:t>
            </a:r>
          </a:p>
        </c:rich>
      </c:tx>
      <c:layout>
        <c:manualLayout>
          <c:xMode val="edge"/>
          <c:yMode val="edge"/>
          <c:x val="0.29898882831953705"/>
          <c:y val="4.6246508907770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497426685111491E-2"/>
          <c:y val="0.2511376475792787"/>
          <c:w val="0.93584978397267371"/>
          <c:h val="0.584125215976616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0000">
                  <a:alpha val="85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C5-415C-910C-EB5145F1DC09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>
                  <a:alpha val="85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C5-415C-910C-EB5145F1D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EOT!$J$18:$U$18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ABC5-415C-910C-EB5145F1DC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6418704"/>
        <c:axId val="216429528"/>
      </c:barChart>
      <c:lineChart>
        <c:grouping val="standard"/>
        <c:varyColors val="0"/>
        <c:ser>
          <c:idx val="1"/>
          <c:order val="1"/>
          <c:tx>
            <c:v>Objectif</c:v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C5-415C-910C-EB5145F1DC0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C5-415C-910C-EB5145F1DC0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C5-415C-910C-EB5145F1DC0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BC5-415C-910C-EB5145F1DC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C5-415C-910C-EB5145F1DC0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BC5-415C-910C-EB5145F1DC0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BC5-415C-910C-EB5145F1DC0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BC5-415C-910C-EB5145F1DC0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BC5-415C-910C-EB5145F1DC0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BC5-415C-910C-EB5145F1DC0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BC5-415C-910C-EB5145F1DC09}"/>
                </c:ext>
              </c:extLst>
            </c:dLbl>
            <c:dLbl>
              <c:idx val="11"/>
              <c:layout>
                <c:manualLayout>
                  <c:x val="-6.7663817663817669E-2"/>
                  <c:y val="-4.683060081079626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BC5-415C-910C-EB5145F1DC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EOT!$J$17:$U$17</c:f>
              <c:numCache>
                <c:formatCode>General</c:formatCode>
                <c:ptCount val="1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BC5-415C-910C-EB5145F1DC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6418704"/>
        <c:axId val="216429528"/>
      </c:lineChart>
      <c:dateAx>
        <c:axId val="2164187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fr-FR"/>
          </a:p>
        </c:txPr>
        <c:crossAx val="216429528"/>
        <c:crosses val="autoZero"/>
        <c:auto val="1"/>
        <c:lblOffset val="100"/>
        <c:baseTimeUnit val="months"/>
      </c:dateAx>
      <c:valAx>
        <c:axId val="2164295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641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fr-FR" sz="1400" b="1" i="0" u="none" strike="noStrike" kern="1200" baseline="0" dirty="0">
                <a:solidFill>
                  <a:srgbClr val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Taux de réalisation préventif</a:t>
            </a:r>
            <a:r>
              <a:rPr lang="en-US"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Arial Narrow" panose="020B0606020202030204" pitchFamily="34" charset="0"/>
              </a:rPr>
              <a:t> </a:t>
            </a:r>
          </a:p>
        </c:rich>
      </c:tx>
      <c:layout>
        <c:manualLayout>
          <c:xMode val="edge"/>
          <c:yMode val="edge"/>
          <c:x val="0.21351888286911722"/>
          <c:y val="3.68803601014225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EOT!$J$14:$U$14</c:f>
              <c:numCache>
                <c:formatCode>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3EA8-45B2-B8BE-4F78EBB68F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6418704"/>
        <c:axId val="216429528"/>
      </c:barChart>
      <c:lineChart>
        <c:grouping val="standard"/>
        <c:varyColors val="0"/>
        <c:ser>
          <c:idx val="1"/>
          <c:order val="1"/>
          <c:tx>
            <c:v>Objectif</c:v>
          </c:tx>
          <c:spPr>
            <a:ln w="31750" cap="rnd">
              <a:solidFill>
                <a:srgbClr val="92D05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A8-45B2-B8BE-4F78EBB68F5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A8-45B2-B8BE-4F78EBB68F5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A8-45B2-B8BE-4F78EBB68F5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A8-45B2-B8BE-4F78EBB68F5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A8-45B2-B8BE-4F78EBB68F5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A8-45B2-B8BE-4F78EBB68F5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A8-45B2-B8BE-4F78EBB68F5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EA8-45B2-B8BE-4F78EBB68F5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EA8-45B2-B8BE-4F78EBB68F5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EA8-45B2-B8BE-4F78EBB68F5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EA8-45B2-B8BE-4F78EBB68F5E}"/>
                </c:ext>
              </c:extLst>
            </c:dLbl>
            <c:dLbl>
              <c:idx val="11"/>
              <c:layout>
                <c:manualLayout>
                  <c:x val="0"/>
                  <c:y val="-4.248863717045754E-2"/>
                </c:manualLayout>
              </c:layout>
              <c:tx>
                <c:rich>
                  <a:bodyPr/>
                  <a:lstStyle/>
                  <a:p>
                    <a:fld id="{45619F93-EE1B-4626-9772-E7B71B1B7BA9}" type="VALUE">
                      <a:rPr lang="en-US">
                        <a:solidFill>
                          <a:srgbClr val="92D050"/>
                        </a:solidFill>
                      </a:rPr>
                      <a:pPr/>
                      <a:t>[VALEUR]</a:t>
                    </a:fld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3EA8-45B2-B8BE-4F78EBB68F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EOT!$J$13:$U$13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EA8-45B2-B8BE-4F78EBB68F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6418704"/>
        <c:axId val="216429528"/>
      </c:lineChart>
      <c:dateAx>
        <c:axId val="2164187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fr-FR"/>
          </a:p>
        </c:txPr>
        <c:crossAx val="216429528"/>
        <c:crosses val="autoZero"/>
        <c:auto val="1"/>
        <c:lblOffset val="100"/>
        <c:baseTimeUnit val="months"/>
      </c:dateAx>
      <c:valAx>
        <c:axId val="2164295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641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kumimoji="0" lang="fr-FR" sz="1400" b="1" i="0" u="none" strike="noStrike" kern="1200" cap="none" spc="0" normalizeH="0" baseline="0" noProof="0" dirty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 panose="020B0604020202020204" pitchFamily="34" charset="0"/>
                <a:ea typeface="Lato" panose="020F0502020204030203" pitchFamily="34" charset="0"/>
                <a:cs typeface="Arial" panose="020B0604020202020204" pitchFamily="34" charset="0"/>
                <a:sym typeface="Wingdings" panose="05000000000000000000" pitchFamily="2" charset="2"/>
              </a:rPr>
              <a:t>Coût des interventions</a:t>
            </a:r>
          </a:p>
        </c:rich>
      </c:tx>
      <c:layout>
        <c:manualLayout>
          <c:xMode val="edge"/>
          <c:yMode val="edge"/>
          <c:x val="0.21351877785995113"/>
          <c:y val="3.6880335493959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>
                  <a:alpha val="85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F8-47E8-812F-E8F32F279D7C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>
                  <a:alpha val="85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F8-47E8-812F-E8F32F279D7C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>
                  <a:alpha val="85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F8-47E8-812F-E8F32F279D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EOT!$J$12:$U$12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E9F8-47E8-812F-E8F32F279D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6418704"/>
        <c:axId val="216429528"/>
      </c:barChart>
      <c:lineChart>
        <c:grouping val="standard"/>
        <c:varyColors val="0"/>
        <c:ser>
          <c:idx val="1"/>
          <c:order val="1"/>
          <c:tx>
            <c:v>Objectif</c:v>
          </c:tx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F8-47E8-812F-E8F32F279D7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9F8-47E8-812F-E8F32F279D7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9F8-47E8-812F-E8F32F279D7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9F8-47E8-812F-E8F32F279D7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9F8-47E8-812F-E8F32F279D7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9F8-47E8-812F-E8F32F279D7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9F8-47E8-812F-E8F32F279D7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9F8-47E8-812F-E8F32F279D7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9F8-47E8-812F-E8F32F279D7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9F8-47E8-812F-E8F32F279D7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9F8-47E8-812F-E8F32F279D7C}"/>
                </c:ext>
              </c:extLst>
            </c:dLbl>
            <c:dLbl>
              <c:idx val="11"/>
              <c:layout>
                <c:manualLayout>
                  <c:x val="-2.4343792401396003E-2"/>
                  <c:y val="-4.720959685606388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A5CBB3F-09E4-4449-B08C-81B141C92E26}" type="VALUE">
                      <a:rPr lang="en-US">
                        <a:solidFill>
                          <a:srgbClr val="FF0000"/>
                        </a:solidFill>
                      </a:rPr>
                      <a:pPr>
                        <a:defRPr/>
                      </a:pPr>
                      <a:t>[VALEUR]</a:t>
                    </a:fld>
                    <a:endParaRPr lang="fr-F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2-E9F8-47E8-812F-E8F32F279D7C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EOT!$J$11:$U$11</c:f>
              <c:numCache>
                <c:formatCode>General</c:formatCode>
                <c:ptCount val="12"/>
                <c:pt idx="0">
                  <c:v>45000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45000</c:v>
                </c:pt>
                <c:pt idx="5">
                  <c:v>45000</c:v>
                </c:pt>
                <c:pt idx="6">
                  <c:v>45000</c:v>
                </c:pt>
                <c:pt idx="7">
                  <c:v>45000</c:v>
                </c:pt>
                <c:pt idx="8">
                  <c:v>45000</c:v>
                </c:pt>
                <c:pt idx="9">
                  <c:v>45000</c:v>
                </c:pt>
                <c:pt idx="10">
                  <c:v>45000</c:v>
                </c:pt>
                <c:pt idx="11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9F8-47E8-812F-E8F32F279D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6418704"/>
        <c:axId val="216429528"/>
      </c:lineChart>
      <c:dateAx>
        <c:axId val="2164187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fr-FR"/>
          </a:p>
        </c:txPr>
        <c:crossAx val="216429528"/>
        <c:crosses val="autoZero"/>
        <c:auto val="1"/>
        <c:lblOffset val="100"/>
        <c:baseTimeUnit val="months"/>
      </c:dateAx>
      <c:valAx>
        <c:axId val="2164295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641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Arial Narrow" panose="020B0606020202030204" pitchFamily="34" charset="0"/>
              </a:rPr>
              <a:t>MTTR</a:t>
            </a:r>
          </a:p>
        </c:rich>
      </c:tx>
      <c:layout>
        <c:manualLayout>
          <c:xMode val="edge"/>
          <c:yMode val="edge"/>
          <c:x val="0.43609069911045206"/>
          <c:y val="3.21594004158161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EOT!$J$6:$U$6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8EF2-47A4-9931-B95E533F5A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6418704"/>
        <c:axId val="216429528"/>
      </c:barChart>
      <c:lineChart>
        <c:grouping val="standard"/>
        <c:varyColors val="0"/>
        <c:ser>
          <c:idx val="1"/>
          <c:order val="1"/>
          <c:tx>
            <c:v>Objectif</c:v>
          </c:tx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F2-47A4-9931-B95E533F5A8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F2-47A4-9931-B95E533F5A8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F2-47A4-9931-B95E533F5A8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F2-47A4-9931-B95E533F5A8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F2-47A4-9931-B95E533F5A8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F2-47A4-9931-B95E533F5A8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F2-47A4-9931-B95E533F5A8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F2-47A4-9931-B95E533F5A8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F2-47A4-9931-B95E533F5A8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EF2-47A4-9931-B95E533F5A8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F2-47A4-9931-B95E533F5A8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ED40A81-1600-494E-A0A3-10B144C8627F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[VALEUR]</a:t>
                    </a:fld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8EF2-47A4-9931-B95E533F5A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EOT!$J$2:$U$2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EOT!$J$5:$U$5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EF2-47A4-9931-B95E533F5A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6418704"/>
        <c:axId val="216429528"/>
      </c:lineChart>
      <c:dateAx>
        <c:axId val="2164187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fr-FR"/>
          </a:p>
        </c:txPr>
        <c:crossAx val="216429528"/>
        <c:crosses val="autoZero"/>
        <c:auto val="1"/>
        <c:lblOffset val="100"/>
        <c:baseTimeUnit val="months"/>
      </c:dateAx>
      <c:valAx>
        <c:axId val="2164295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641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188595</xdr:colOff>
      <xdr:row>20</xdr:row>
      <xdr:rowOff>19050</xdr:rowOff>
    </xdr:from>
    <xdr:to>
      <xdr:col>5</xdr:col>
      <xdr:colOff>32717</xdr:colOff>
      <xdr:row>34</xdr:row>
      <xdr:rowOff>111577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8CECBBA-A86C-4637-A164-5FA2E88CB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452966</xdr:colOff>
      <xdr:row>20</xdr:row>
      <xdr:rowOff>28877</xdr:rowOff>
    </xdr:from>
    <xdr:to>
      <xdr:col>14</xdr:col>
      <xdr:colOff>332317</xdr:colOff>
      <xdr:row>34</xdr:row>
      <xdr:rowOff>123975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EBE7C71-46EB-454F-9067-DE54B24B3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496358</xdr:colOff>
      <xdr:row>20</xdr:row>
      <xdr:rowOff>25400</xdr:rowOff>
    </xdr:from>
    <xdr:to>
      <xdr:col>19</xdr:col>
      <xdr:colOff>228600</xdr:colOff>
      <xdr:row>34</xdr:row>
      <xdr:rowOff>115206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2924A0F-F516-4007-88E7-371400EB6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605669</xdr:colOff>
      <xdr:row>35</xdr:row>
      <xdr:rowOff>87539</xdr:rowOff>
    </xdr:from>
    <xdr:to>
      <xdr:col>14</xdr:col>
      <xdr:colOff>311453</xdr:colOff>
      <xdr:row>50</xdr:row>
      <xdr:rowOff>56241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1A9673D-3620-4617-8C16-54E768FAD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622906</xdr:colOff>
      <xdr:row>35</xdr:row>
      <xdr:rowOff>122162</xdr:rowOff>
    </xdr:from>
    <xdr:to>
      <xdr:col>19</xdr:col>
      <xdr:colOff>260531</xdr:colOff>
      <xdr:row>50</xdr:row>
      <xdr:rowOff>38100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F17C967-0609-459C-9219-AD7C3F86B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462643</xdr:colOff>
      <xdr:row>35</xdr:row>
      <xdr:rowOff>81644</xdr:rowOff>
    </xdr:from>
    <xdr:to>
      <xdr:col>9</xdr:col>
      <xdr:colOff>322641</xdr:colOff>
      <xdr:row>50</xdr:row>
      <xdr:rowOff>50346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185C248-31CB-4D92-9EFE-DD15CA90D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127000</xdr:colOff>
      <xdr:row>35</xdr:row>
      <xdr:rowOff>72573</xdr:rowOff>
    </xdr:from>
    <xdr:to>
      <xdr:col>5</xdr:col>
      <xdr:colOff>286355</xdr:colOff>
      <xdr:row>50</xdr:row>
      <xdr:rowOff>41275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51239DE7-B53B-4138-B6AC-FBB53225F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217714</xdr:colOff>
      <xdr:row>20</xdr:row>
      <xdr:rowOff>9072</xdr:rowOff>
    </xdr:from>
    <xdr:to>
      <xdr:col>9</xdr:col>
      <xdr:colOff>362857</xdr:colOff>
      <xdr:row>34</xdr:row>
      <xdr:rowOff>99786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E6F49EF-2189-4AAE-A1A3-8E3529AC9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3</xdr:row>
      <xdr:rowOff>83820</xdr:rowOff>
    </xdr:from>
    <xdr:to>
      <xdr:col>0</xdr:col>
      <xdr:colOff>388620</xdr:colOff>
      <xdr:row>3</xdr:row>
      <xdr:rowOff>480060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BDB4A17-0AAF-4F36-8075-5E915E378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" y="68580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174625</xdr:colOff>
      <xdr:row>1</xdr:row>
      <xdr:rowOff>155575</xdr:rowOff>
    </xdr:from>
    <xdr:to>
      <xdr:col>1</xdr:col>
      <xdr:colOff>511663</xdr:colOff>
      <xdr:row>3</xdr:row>
      <xdr:rowOff>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97555859-9CB5-4285-B134-D7330EDAA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25" y="254635"/>
          <a:ext cx="1609578" cy="347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4911-BA8A-4ECE-8FA1-7EA73A2CEEE5}">
  <dimension ref="B1:W21"/>
  <sheetViews>
    <sheetView tabSelected="1" view="pageBreakPreview" topLeftCell="C1" zoomScale="80" zoomScaleNormal="80" zoomScaleSheetLayoutView="80" workbookViewId="0">
      <selection activeCell="J3" sqref="J3"/>
    </sheetView>
  </sheetViews>
  <sheetFormatPr baseColWidth="10" defaultRowHeight="14.4"/>
  <cols>
    <col min="1" max="1" width="3" customWidth="1"/>
    <col min="2" max="2" width="8" customWidth="1"/>
    <col min="3" max="3" width="29.88671875" customWidth="1"/>
    <col min="4" max="4" width="7.44140625" customWidth="1"/>
    <col min="5" max="5" width="5.6640625" customWidth="1"/>
    <col min="6" max="6" width="10.33203125" customWidth="1"/>
    <col min="7" max="7" width="13.109375" style="6" customWidth="1"/>
    <col min="8" max="8" width="20.33203125" customWidth="1"/>
  </cols>
  <sheetData>
    <row r="1" spans="2:23" ht="15" thickBot="1"/>
    <row r="2" spans="2:23" ht="15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7" t="s">
        <v>5</v>
      </c>
      <c r="H2" s="1" t="s">
        <v>6</v>
      </c>
      <c r="I2" s="1" t="s">
        <v>7</v>
      </c>
      <c r="J2" s="2">
        <v>46023</v>
      </c>
      <c r="K2" s="2">
        <v>46054</v>
      </c>
      <c r="L2" s="2">
        <v>46082</v>
      </c>
      <c r="M2" s="2">
        <v>46113</v>
      </c>
      <c r="N2" s="2">
        <v>46143</v>
      </c>
      <c r="O2" s="2">
        <v>46174</v>
      </c>
      <c r="P2" s="2">
        <v>46204</v>
      </c>
      <c r="Q2" s="2">
        <v>46235</v>
      </c>
      <c r="R2" s="2">
        <v>46266</v>
      </c>
      <c r="S2" s="2">
        <v>46296</v>
      </c>
      <c r="T2" s="2">
        <v>46327</v>
      </c>
      <c r="U2" s="2">
        <v>46357</v>
      </c>
    </row>
    <row r="3" spans="2:23" ht="24.6" customHeight="1" thickBot="1">
      <c r="B3" s="70" t="s">
        <v>17</v>
      </c>
      <c r="C3" s="54" t="s">
        <v>18</v>
      </c>
      <c r="D3" s="59" t="s">
        <v>1</v>
      </c>
      <c r="E3" s="59" t="s">
        <v>24</v>
      </c>
      <c r="F3" s="59" t="s">
        <v>25</v>
      </c>
      <c r="G3" s="69">
        <v>0</v>
      </c>
      <c r="H3" s="66" t="s">
        <v>27</v>
      </c>
      <c r="I3" s="3" t="s">
        <v>11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</row>
    <row r="4" spans="2:23" ht="22.2" customHeight="1" thickBot="1">
      <c r="B4" s="71"/>
      <c r="C4" s="62"/>
      <c r="D4" s="55"/>
      <c r="E4" s="55"/>
      <c r="F4" s="55"/>
      <c r="G4" s="63"/>
      <c r="H4" s="52"/>
      <c r="I4" s="4" t="s">
        <v>12</v>
      </c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</row>
    <row r="5" spans="2:23" ht="18" customHeight="1" thickBot="1">
      <c r="B5" s="71"/>
      <c r="C5" s="67" t="s">
        <v>19</v>
      </c>
      <c r="D5" s="59" t="s">
        <v>8</v>
      </c>
      <c r="E5" s="59" t="s">
        <v>9</v>
      </c>
      <c r="F5" s="59" t="s">
        <v>25</v>
      </c>
      <c r="G5" s="57" t="s">
        <v>39</v>
      </c>
      <c r="H5" s="68" t="s">
        <v>28</v>
      </c>
      <c r="I5" s="4" t="s">
        <v>11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v>1</v>
      </c>
    </row>
    <row r="6" spans="2:23" ht="18" customHeight="1" thickBot="1">
      <c r="B6" s="71"/>
      <c r="C6" s="54"/>
      <c r="D6" s="55"/>
      <c r="E6" s="55"/>
      <c r="F6" s="55"/>
      <c r="G6" s="63"/>
      <c r="H6" s="52"/>
      <c r="I6" s="4" t="s">
        <v>12</v>
      </c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</row>
    <row r="7" spans="2:23" ht="22.05" customHeight="1" thickBot="1">
      <c r="B7" s="71"/>
      <c r="C7" s="62" t="s">
        <v>20</v>
      </c>
      <c r="D7" s="55" t="s">
        <v>1</v>
      </c>
      <c r="E7" s="55" t="s">
        <v>13</v>
      </c>
      <c r="F7" s="55" t="s">
        <v>25</v>
      </c>
      <c r="G7" s="65" t="s">
        <v>58</v>
      </c>
      <c r="H7" s="52" t="s">
        <v>29</v>
      </c>
      <c r="I7" s="4" t="s">
        <v>11</v>
      </c>
      <c r="J7" s="9">
        <v>715</v>
      </c>
      <c r="K7" s="9">
        <v>715</v>
      </c>
      <c r="L7" s="9">
        <v>715</v>
      </c>
      <c r="M7" s="9">
        <v>715</v>
      </c>
      <c r="N7" s="9">
        <v>715</v>
      </c>
      <c r="O7" s="9">
        <v>715</v>
      </c>
      <c r="P7" s="9">
        <v>715</v>
      </c>
      <c r="Q7" s="9">
        <v>715</v>
      </c>
      <c r="R7" s="9">
        <v>715</v>
      </c>
      <c r="S7" s="9">
        <v>715</v>
      </c>
      <c r="T7" s="9">
        <v>715</v>
      </c>
      <c r="U7" s="9">
        <v>715</v>
      </c>
    </row>
    <row r="8" spans="2:23" ht="22.05" customHeight="1" thickBot="1">
      <c r="B8" s="71"/>
      <c r="C8" s="62"/>
      <c r="D8" s="55"/>
      <c r="E8" s="55"/>
      <c r="F8" s="55"/>
      <c r="G8" s="65"/>
      <c r="H8" s="52"/>
      <c r="I8" s="4" t="s">
        <v>12</v>
      </c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</row>
    <row r="9" spans="2:23" ht="18" customHeight="1" thickBot="1">
      <c r="B9" s="71"/>
      <c r="C9" s="53" t="s">
        <v>21</v>
      </c>
      <c r="D9" s="55" t="s">
        <v>8</v>
      </c>
      <c r="E9" s="55" t="s">
        <v>9</v>
      </c>
      <c r="F9" s="55" t="s">
        <v>26</v>
      </c>
      <c r="G9" s="65" t="s">
        <v>36</v>
      </c>
      <c r="H9" s="52" t="s">
        <v>30</v>
      </c>
      <c r="I9" s="4" t="s">
        <v>11</v>
      </c>
      <c r="J9" s="9">
        <v>20000</v>
      </c>
      <c r="K9" s="9">
        <v>20000</v>
      </c>
      <c r="L9" s="9">
        <v>20000</v>
      </c>
      <c r="M9" s="9">
        <v>20000</v>
      </c>
      <c r="N9" s="9">
        <v>20000</v>
      </c>
      <c r="O9" s="9">
        <v>20000</v>
      </c>
      <c r="P9" s="9">
        <v>20000</v>
      </c>
      <c r="Q9" s="9">
        <v>20000</v>
      </c>
      <c r="R9" s="9">
        <v>20000</v>
      </c>
      <c r="S9" s="9">
        <v>20000</v>
      </c>
      <c r="T9" s="9">
        <v>20000</v>
      </c>
      <c r="U9" s="9">
        <v>20000</v>
      </c>
    </row>
    <row r="10" spans="2:23" ht="18" customHeight="1" thickBot="1">
      <c r="B10" s="71"/>
      <c r="C10" s="54"/>
      <c r="D10" s="55"/>
      <c r="E10" s="55"/>
      <c r="F10" s="55"/>
      <c r="G10" s="65"/>
      <c r="H10" s="52"/>
      <c r="I10" s="4" t="s">
        <v>12</v>
      </c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</row>
    <row r="11" spans="2:23" ht="18" customHeight="1" thickBot="1">
      <c r="B11" s="71"/>
      <c r="C11" s="61" t="s">
        <v>22</v>
      </c>
      <c r="D11" s="55" t="s">
        <v>8</v>
      </c>
      <c r="E11" s="55" t="s">
        <v>9</v>
      </c>
      <c r="F11" s="55" t="s">
        <v>26</v>
      </c>
      <c r="G11" s="63" t="s">
        <v>37</v>
      </c>
      <c r="H11" s="52" t="s">
        <v>31</v>
      </c>
      <c r="I11" s="4" t="s">
        <v>11</v>
      </c>
      <c r="J11" s="9">
        <v>45000</v>
      </c>
      <c r="K11" s="9">
        <v>45000</v>
      </c>
      <c r="L11" s="9">
        <v>45000</v>
      </c>
      <c r="M11" s="9">
        <v>45000</v>
      </c>
      <c r="N11" s="9">
        <v>45000</v>
      </c>
      <c r="O11" s="9">
        <v>45000</v>
      </c>
      <c r="P11" s="9">
        <v>45000</v>
      </c>
      <c r="Q11" s="9">
        <v>45000</v>
      </c>
      <c r="R11" s="9">
        <v>45000</v>
      </c>
      <c r="S11" s="9">
        <v>45000</v>
      </c>
      <c r="T11" s="9">
        <v>45000</v>
      </c>
      <c r="U11" s="9">
        <v>45000</v>
      </c>
    </row>
    <row r="12" spans="2:23" ht="18" customHeight="1" thickBot="1">
      <c r="B12" s="71"/>
      <c r="C12" s="62"/>
      <c r="D12" s="55"/>
      <c r="E12" s="55"/>
      <c r="F12" s="55"/>
      <c r="G12" s="63"/>
      <c r="H12" s="52"/>
      <c r="I12" s="4" t="s">
        <v>12</v>
      </c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</row>
    <row r="13" spans="2:23" ht="18" customHeight="1" thickBot="1">
      <c r="B13" s="71"/>
      <c r="C13" s="61" t="s">
        <v>23</v>
      </c>
      <c r="D13" s="55" t="s">
        <v>1</v>
      </c>
      <c r="E13" s="55" t="s">
        <v>24</v>
      </c>
      <c r="F13" s="55" t="s">
        <v>10</v>
      </c>
      <c r="G13" s="64">
        <v>1</v>
      </c>
      <c r="H13" s="52" t="s">
        <v>32</v>
      </c>
      <c r="I13" s="4" t="s">
        <v>11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</row>
    <row r="14" spans="2:23" ht="18" customHeight="1" thickBot="1">
      <c r="B14" s="71"/>
      <c r="C14" s="62"/>
      <c r="D14" s="55"/>
      <c r="E14" s="55"/>
      <c r="F14" s="55"/>
      <c r="G14" s="63"/>
      <c r="H14" s="52"/>
      <c r="I14" s="4" t="s">
        <v>12</v>
      </c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</row>
    <row r="15" spans="2:23" ht="18" customHeight="1" thickBot="1">
      <c r="B15" s="71"/>
      <c r="C15" s="53" t="s">
        <v>33</v>
      </c>
      <c r="D15" s="55" t="s">
        <v>8</v>
      </c>
      <c r="E15" s="55" t="s">
        <v>9</v>
      </c>
      <c r="F15" s="55" t="s">
        <v>34</v>
      </c>
      <c r="G15" s="56" t="s">
        <v>38</v>
      </c>
      <c r="H15" s="52" t="s">
        <v>35</v>
      </c>
      <c r="I15" s="4" t="s">
        <v>11</v>
      </c>
      <c r="J15" s="8">
        <v>250000</v>
      </c>
      <c r="K15" s="8">
        <v>250000</v>
      </c>
      <c r="L15" s="8">
        <v>250000</v>
      </c>
      <c r="M15" s="8">
        <v>250000</v>
      </c>
      <c r="N15" s="8">
        <v>270000</v>
      </c>
      <c r="O15" s="8">
        <v>270000</v>
      </c>
      <c r="P15" s="8">
        <v>270000</v>
      </c>
      <c r="Q15" s="8">
        <v>270000</v>
      </c>
      <c r="R15" s="8">
        <v>270000</v>
      </c>
      <c r="S15" s="8">
        <v>250000</v>
      </c>
      <c r="T15" s="8">
        <v>250000</v>
      </c>
      <c r="U15" s="8">
        <v>250000</v>
      </c>
      <c r="W15" s="51"/>
    </row>
    <row r="16" spans="2:23" ht="18" customHeight="1" thickBot="1">
      <c r="B16" s="71"/>
      <c r="C16" s="54"/>
      <c r="D16" s="55"/>
      <c r="E16" s="55"/>
      <c r="F16" s="55"/>
      <c r="G16" s="57"/>
      <c r="H16" s="52"/>
      <c r="I16" s="4" t="s">
        <v>12</v>
      </c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</row>
    <row r="17" spans="2:21" ht="18" customHeight="1" thickBot="1">
      <c r="B17" s="71"/>
      <c r="C17" s="53" t="s">
        <v>14</v>
      </c>
      <c r="D17" s="55" t="s">
        <v>8</v>
      </c>
      <c r="E17" s="55" t="s">
        <v>9</v>
      </c>
      <c r="F17" s="58" t="s">
        <v>15</v>
      </c>
      <c r="G17" s="60">
        <v>300</v>
      </c>
      <c r="H17" s="52" t="s">
        <v>16</v>
      </c>
      <c r="I17" s="4" t="s">
        <v>11</v>
      </c>
      <c r="J17" s="9">
        <v>300</v>
      </c>
      <c r="K17" s="9">
        <v>300</v>
      </c>
      <c r="L17" s="9">
        <v>300</v>
      </c>
      <c r="M17" s="9">
        <v>300</v>
      </c>
      <c r="N17" s="9">
        <v>300</v>
      </c>
      <c r="O17" s="9">
        <v>300</v>
      </c>
      <c r="P17" s="9">
        <v>300</v>
      </c>
      <c r="Q17" s="9">
        <v>300</v>
      </c>
      <c r="R17" s="9">
        <v>300</v>
      </c>
      <c r="S17" s="9">
        <v>300</v>
      </c>
      <c r="T17" s="9">
        <v>300</v>
      </c>
      <c r="U17" s="9">
        <v>300</v>
      </c>
    </row>
    <row r="18" spans="2:21" ht="18" customHeight="1" thickBot="1">
      <c r="B18" s="71"/>
      <c r="C18" s="54"/>
      <c r="D18" s="55"/>
      <c r="E18" s="55"/>
      <c r="F18" s="59"/>
      <c r="G18" s="57"/>
      <c r="H18" s="52"/>
      <c r="I18" s="4" t="s">
        <v>12</v>
      </c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</row>
    <row r="21" spans="2:21" ht="18.600000000000001" customHeight="1"/>
  </sheetData>
  <mergeCells count="49">
    <mergeCell ref="B3:B18"/>
    <mergeCell ref="C3:C4"/>
    <mergeCell ref="D3:D4"/>
    <mergeCell ref="E3:E4"/>
    <mergeCell ref="F3:F4"/>
    <mergeCell ref="C7:C8"/>
    <mergeCell ref="D7:D8"/>
    <mergeCell ref="E7:E8"/>
    <mergeCell ref="F7:F8"/>
    <mergeCell ref="H3:H4"/>
    <mergeCell ref="C5:C6"/>
    <mergeCell ref="D5:D6"/>
    <mergeCell ref="E5:E6"/>
    <mergeCell ref="F5:F6"/>
    <mergeCell ref="G5:G6"/>
    <mergeCell ref="H5:H6"/>
    <mergeCell ref="G3:G4"/>
    <mergeCell ref="G7:G8"/>
    <mergeCell ref="H7:H8"/>
    <mergeCell ref="C9:C10"/>
    <mergeCell ref="D9:D10"/>
    <mergeCell ref="E9:E10"/>
    <mergeCell ref="F9:F10"/>
    <mergeCell ref="G9:G10"/>
    <mergeCell ref="H9:H10"/>
    <mergeCell ref="H13:H14"/>
    <mergeCell ref="C11:C12"/>
    <mergeCell ref="D11:D12"/>
    <mergeCell ref="E11:E12"/>
    <mergeCell ref="F11:F12"/>
    <mergeCell ref="G11:G12"/>
    <mergeCell ref="H11:H12"/>
    <mergeCell ref="C13:C14"/>
    <mergeCell ref="D13:D14"/>
    <mergeCell ref="E13:E14"/>
    <mergeCell ref="F13:F14"/>
    <mergeCell ref="G13:G14"/>
    <mergeCell ref="H17:H18"/>
    <mergeCell ref="C15:C16"/>
    <mergeCell ref="D15:D16"/>
    <mergeCell ref="E15:E16"/>
    <mergeCell ref="F15:F16"/>
    <mergeCell ref="G15:G16"/>
    <mergeCell ref="H15:H16"/>
    <mergeCell ref="C17:C18"/>
    <mergeCell ref="D17:D18"/>
    <mergeCell ref="E17:E18"/>
    <mergeCell ref="F17:F18"/>
    <mergeCell ref="G17:G18"/>
  </mergeCells>
  <pageMargins left="0.15748031496062992" right="0.15748031496062992" top="0.24" bottom="0.24" header="0.17" footer="0.17"/>
  <pageSetup paperSize="9" scale="55" orientation="landscape" r:id="rId1"/>
  <rowBreaks count="1" manualBreakCount="1">
    <brk id="51" max="16383" man="1"/>
  </rowBreaks>
  <ignoredErrors>
    <ignoredError sqref="G5:G6 G8:G1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7624-8617-4FD1-A0A3-E9A9C8AE1F1A}">
  <sheetPr>
    <pageSetUpPr fitToPage="1"/>
  </sheetPr>
  <dimension ref="A1:AW90"/>
  <sheetViews>
    <sheetView view="pageBreakPreview" topLeftCell="A9" zoomScale="55" zoomScaleNormal="100" zoomScaleSheetLayoutView="55" workbookViewId="0">
      <selection activeCell="A16" sqref="A16"/>
    </sheetView>
  </sheetViews>
  <sheetFormatPr baseColWidth="10" defaultRowHeight="14.4"/>
  <cols>
    <col min="1" max="1" width="18.5546875" customWidth="1"/>
    <col min="2" max="2" width="10" customWidth="1"/>
    <col min="3" max="3" width="50.88671875" customWidth="1"/>
    <col min="4" max="4" width="51.88671875" customWidth="1"/>
    <col min="5" max="5" width="61.88671875" customWidth="1"/>
    <col min="6" max="6" width="26.109375" customWidth="1"/>
    <col min="7" max="7" width="20.33203125" customWidth="1"/>
    <col min="8" max="8" width="17.6640625" customWidth="1"/>
    <col min="9" max="9" width="8.5546875" customWidth="1"/>
    <col min="10" max="10" width="14.109375" customWidth="1"/>
    <col min="11" max="11" width="59.33203125" customWidth="1"/>
  </cols>
  <sheetData>
    <row r="1" spans="1:49" s="13" customFormat="1" ht="7.95" customHeight="1">
      <c r="A1" s="10"/>
      <c r="B1" s="10"/>
      <c r="C1" s="11"/>
      <c r="D1" s="12"/>
      <c r="E1" s="12"/>
      <c r="F1" s="12"/>
      <c r="G1" s="12"/>
      <c r="H1" s="12"/>
      <c r="I1" s="12"/>
      <c r="J1" s="12"/>
      <c r="AW1" s="13">
        <v>1</v>
      </c>
    </row>
    <row r="2" spans="1:49" s="10" customFormat="1" ht="19.95" customHeight="1">
      <c r="A2" s="75"/>
      <c r="B2" s="75"/>
      <c r="C2" s="76" t="s">
        <v>40</v>
      </c>
      <c r="D2" s="76"/>
      <c r="E2" s="76"/>
      <c r="F2" s="76"/>
      <c r="G2" s="76"/>
      <c r="H2" s="76"/>
      <c r="I2" s="76"/>
      <c r="J2" s="76"/>
      <c r="K2" s="14" t="s">
        <v>41</v>
      </c>
    </row>
    <row r="3" spans="1:49" s="13" customFormat="1" ht="19.95" customHeight="1">
      <c r="A3" s="75"/>
      <c r="B3" s="75"/>
      <c r="C3" s="76"/>
      <c r="D3" s="76"/>
      <c r="E3" s="76"/>
      <c r="F3" s="76"/>
      <c r="G3" s="76"/>
      <c r="H3" s="76"/>
      <c r="I3" s="76"/>
      <c r="J3" s="76"/>
      <c r="K3" s="14" t="s">
        <v>42</v>
      </c>
    </row>
    <row r="4" spans="1:49" s="13" customFormat="1" ht="19.95" customHeight="1">
      <c r="A4" s="75"/>
      <c r="B4" s="75"/>
      <c r="C4" s="76"/>
      <c r="D4" s="76"/>
      <c r="E4" s="76"/>
      <c r="F4" s="76"/>
      <c r="G4" s="76"/>
      <c r="H4" s="76"/>
      <c r="I4" s="76"/>
      <c r="J4" s="76"/>
      <c r="K4" s="15" t="s">
        <v>43</v>
      </c>
    </row>
    <row r="5" spans="1:49" s="18" customFormat="1" ht="10.95" customHeight="1">
      <c r="A5" s="11"/>
      <c r="B5" s="11"/>
      <c r="C5" s="11"/>
      <c r="D5" s="16"/>
      <c r="E5" s="16"/>
      <c r="F5" s="16"/>
      <c r="G5" s="16"/>
      <c r="H5" s="16"/>
      <c r="I5" s="16"/>
      <c r="J5" s="16"/>
      <c r="K5" s="17"/>
      <c r="AW5" s="18">
        <v>1</v>
      </c>
    </row>
    <row r="6" spans="1:49" s="24" customFormat="1" ht="31.8" customHeight="1">
      <c r="A6" s="19"/>
      <c r="B6" s="19"/>
      <c r="C6" s="19"/>
      <c r="D6" s="19"/>
      <c r="E6" s="20" t="s">
        <v>44</v>
      </c>
      <c r="F6" s="21"/>
      <c r="G6" s="22"/>
      <c r="H6" s="22"/>
      <c r="I6" s="22"/>
      <c r="J6" s="23"/>
      <c r="K6" s="21"/>
      <c r="AW6" s="24">
        <v>1</v>
      </c>
    </row>
    <row r="7" spans="1:49" ht="9.6" customHeight="1">
      <c r="A7" s="25"/>
      <c r="B7" s="25"/>
      <c r="C7" s="25"/>
      <c r="D7" s="25"/>
      <c r="E7" s="25"/>
      <c r="F7" s="25"/>
      <c r="G7" s="22"/>
      <c r="H7" s="22"/>
      <c r="I7" s="22"/>
      <c r="J7" s="23"/>
      <c r="K7" s="26"/>
      <c r="AW7" s="18">
        <v>1</v>
      </c>
    </row>
    <row r="8" spans="1:49" ht="9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6"/>
      <c r="AW8" s="18">
        <v>1</v>
      </c>
    </row>
    <row r="9" spans="1:49" ht="36" customHeight="1">
      <c r="A9" s="77" t="s">
        <v>45</v>
      </c>
      <c r="B9" s="78" t="s">
        <v>46</v>
      </c>
      <c r="C9" s="79" t="s">
        <v>47</v>
      </c>
      <c r="D9" s="82" t="s">
        <v>48</v>
      </c>
      <c r="E9" s="85" t="s">
        <v>49</v>
      </c>
      <c r="F9" s="85" t="s">
        <v>50</v>
      </c>
      <c r="G9" s="86" t="s">
        <v>51</v>
      </c>
      <c r="H9" s="87"/>
      <c r="I9" s="88" t="s">
        <v>52</v>
      </c>
      <c r="J9" s="72" t="s">
        <v>53</v>
      </c>
      <c r="K9" s="72" t="s">
        <v>54</v>
      </c>
      <c r="AW9" s="18">
        <v>1</v>
      </c>
    </row>
    <row r="10" spans="1:49" ht="24" customHeight="1">
      <c r="A10" s="77"/>
      <c r="B10" s="78"/>
      <c r="C10" s="80"/>
      <c r="D10" s="83"/>
      <c r="E10" s="85"/>
      <c r="F10" s="85"/>
      <c r="G10" s="28" t="s">
        <v>55</v>
      </c>
      <c r="H10" s="28" t="s">
        <v>56</v>
      </c>
      <c r="I10" s="89"/>
      <c r="J10" s="73"/>
      <c r="K10" s="73"/>
      <c r="AW10" s="18">
        <v>1</v>
      </c>
    </row>
    <row r="11" spans="1:49" ht="24" customHeight="1">
      <c r="A11" s="77"/>
      <c r="B11" s="78"/>
      <c r="C11" s="81"/>
      <c r="D11" s="84"/>
      <c r="E11" s="85"/>
      <c r="F11" s="85"/>
      <c r="G11" s="28" t="s">
        <v>57</v>
      </c>
      <c r="H11" s="28" t="s">
        <v>57</v>
      </c>
      <c r="I11" s="90"/>
      <c r="J11" s="74"/>
      <c r="K11" s="74"/>
      <c r="AW11" s="18">
        <v>1</v>
      </c>
    </row>
    <row r="12" spans="1:49" ht="54" customHeight="1">
      <c r="A12" s="29"/>
      <c r="B12" s="30">
        <v>1</v>
      </c>
      <c r="C12" s="31" t="s">
        <v>59</v>
      </c>
      <c r="D12" s="32" t="s">
        <v>59</v>
      </c>
      <c r="E12" s="33" t="s">
        <v>62</v>
      </c>
      <c r="F12" s="34" t="s">
        <v>69</v>
      </c>
      <c r="G12" s="35">
        <v>45794</v>
      </c>
      <c r="H12" s="35">
        <v>45794</v>
      </c>
      <c r="I12" s="36"/>
      <c r="J12" s="34" t="s">
        <v>72</v>
      </c>
      <c r="K12" s="37" t="s">
        <v>73</v>
      </c>
      <c r="AW12">
        <f>COUNTA(A12)</f>
        <v>0</v>
      </c>
    </row>
    <row r="13" spans="1:49" ht="54" customHeight="1">
      <c r="A13" s="29"/>
      <c r="B13" s="30">
        <v>2</v>
      </c>
      <c r="C13" s="31" t="s">
        <v>59</v>
      </c>
      <c r="D13" s="32" t="s">
        <v>59</v>
      </c>
      <c r="E13" s="33" t="s">
        <v>63</v>
      </c>
      <c r="F13" s="34" t="s">
        <v>69</v>
      </c>
      <c r="G13" s="35">
        <v>45860</v>
      </c>
      <c r="H13" s="35">
        <v>45860</v>
      </c>
      <c r="I13" s="36"/>
      <c r="J13" s="34" t="s">
        <v>72</v>
      </c>
      <c r="K13" s="37" t="s">
        <v>73</v>
      </c>
    </row>
    <row r="14" spans="1:49" ht="54" customHeight="1">
      <c r="A14" s="29"/>
      <c r="B14" s="30">
        <v>3</v>
      </c>
      <c r="C14" s="31" t="s">
        <v>60</v>
      </c>
      <c r="D14" s="32" t="s">
        <v>60</v>
      </c>
      <c r="E14" s="33" t="s">
        <v>64</v>
      </c>
      <c r="F14" s="34" t="s">
        <v>70</v>
      </c>
      <c r="G14" s="35">
        <v>45922</v>
      </c>
      <c r="H14" s="35">
        <v>45922</v>
      </c>
      <c r="I14" s="36"/>
      <c r="J14" s="34" t="s">
        <v>72</v>
      </c>
      <c r="K14" s="37" t="s">
        <v>73</v>
      </c>
    </row>
    <row r="15" spans="1:49" ht="54" customHeight="1">
      <c r="A15" s="29"/>
      <c r="B15" s="30">
        <v>4</v>
      </c>
      <c r="C15" s="31" t="s">
        <v>61</v>
      </c>
      <c r="D15" s="32" t="s">
        <v>61</v>
      </c>
      <c r="E15" s="33" t="s">
        <v>65</v>
      </c>
      <c r="F15" s="34" t="s">
        <v>69</v>
      </c>
      <c r="G15" s="35">
        <v>45807</v>
      </c>
      <c r="H15" s="35">
        <v>45807</v>
      </c>
      <c r="I15" s="36"/>
      <c r="J15" s="34" t="s">
        <v>72</v>
      </c>
      <c r="K15" s="37" t="s">
        <v>73</v>
      </c>
    </row>
    <row r="16" spans="1:49" ht="54" customHeight="1">
      <c r="A16" s="29"/>
      <c r="B16" s="30">
        <v>5</v>
      </c>
      <c r="C16" s="31" t="s">
        <v>61</v>
      </c>
      <c r="D16" s="32" t="s">
        <v>61</v>
      </c>
      <c r="E16" s="33" t="s">
        <v>66</v>
      </c>
      <c r="F16" s="34" t="s">
        <v>69</v>
      </c>
      <c r="G16" s="35">
        <v>46021</v>
      </c>
      <c r="H16" s="35"/>
      <c r="I16" s="36"/>
      <c r="J16" s="34" t="s">
        <v>71</v>
      </c>
      <c r="K16" s="37" t="s">
        <v>74</v>
      </c>
    </row>
    <row r="17" spans="1:11" ht="54" customHeight="1">
      <c r="A17" s="29"/>
      <c r="B17" s="30">
        <v>6</v>
      </c>
      <c r="C17" s="31" t="s">
        <v>61</v>
      </c>
      <c r="D17" s="32" t="s">
        <v>61</v>
      </c>
      <c r="E17" s="33" t="s">
        <v>67</v>
      </c>
      <c r="F17" s="34" t="s">
        <v>69</v>
      </c>
      <c r="G17" s="35">
        <v>45866</v>
      </c>
      <c r="H17" s="35">
        <v>45866</v>
      </c>
      <c r="I17" s="36"/>
      <c r="J17" s="34" t="s">
        <v>72</v>
      </c>
      <c r="K17" s="37" t="s">
        <v>73</v>
      </c>
    </row>
    <row r="18" spans="1:11" ht="54" customHeight="1">
      <c r="A18" s="29"/>
      <c r="B18" s="30">
        <v>7</v>
      </c>
      <c r="C18" s="31" t="s">
        <v>60</v>
      </c>
      <c r="D18" s="32" t="s">
        <v>60</v>
      </c>
      <c r="E18" s="33" t="s">
        <v>68</v>
      </c>
      <c r="F18" s="34" t="s">
        <v>70</v>
      </c>
      <c r="G18" s="35">
        <v>45891</v>
      </c>
      <c r="H18" s="35">
        <v>45891</v>
      </c>
      <c r="I18" s="36"/>
      <c r="J18" s="34" t="s">
        <v>72</v>
      </c>
      <c r="K18" s="37" t="s">
        <v>73</v>
      </c>
    </row>
    <row r="19" spans="1:11" ht="54" customHeight="1">
      <c r="A19" s="29"/>
      <c r="B19" s="30">
        <v>8</v>
      </c>
      <c r="C19" s="31"/>
      <c r="D19" s="32"/>
      <c r="E19" s="33"/>
      <c r="F19" s="34"/>
      <c r="G19" s="35"/>
      <c r="H19" s="35"/>
      <c r="I19" s="36"/>
      <c r="J19" s="34"/>
      <c r="K19" s="37"/>
    </row>
    <row r="20" spans="1:11" ht="54" customHeight="1">
      <c r="A20" s="29"/>
      <c r="B20" s="30">
        <v>9</v>
      </c>
      <c r="C20" s="31"/>
      <c r="D20" s="32"/>
      <c r="E20" s="33"/>
      <c r="F20" s="34"/>
      <c r="G20" s="35"/>
      <c r="H20" s="35"/>
      <c r="I20" s="36"/>
      <c r="J20" s="34"/>
      <c r="K20" s="37"/>
    </row>
    <row r="21" spans="1:11" ht="54" customHeight="1">
      <c r="A21" s="29"/>
      <c r="B21" s="30">
        <v>10</v>
      </c>
      <c r="C21" s="31"/>
      <c r="D21" s="32"/>
      <c r="E21" s="33"/>
      <c r="F21" s="34"/>
      <c r="G21" s="35"/>
      <c r="H21" s="35"/>
      <c r="I21" s="36"/>
      <c r="J21" s="34"/>
      <c r="K21" s="37"/>
    </row>
    <row r="22" spans="1:11" ht="54" customHeight="1">
      <c r="A22" s="29"/>
      <c r="B22" s="30">
        <v>11</v>
      </c>
      <c r="C22" s="31"/>
      <c r="D22" s="32"/>
      <c r="E22" s="33"/>
      <c r="F22" s="34"/>
      <c r="G22" s="35"/>
      <c r="H22" s="35"/>
      <c r="I22" s="36"/>
      <c r="J22" s="34"/>
      <c r="K22" s="37"/>
    </row>
    <row r="23" spans="1:11" ht="60.6" customHeight="1">
      <c r="A23" s="29"/>
      <c r="B23" s="30">
        <v>12</v>
      </c>
      <c r="C23" s="31"/>
      <c r="D23" s="32"/>
      <c r="E23" s="33"/>
      <c r="F23" s="34"/>
      <c r="G23" s="35"/>
      <c r="H23" s="35"/>
      <c r="I23" s="36"/>
      <c r="J23" s="34"/>
      <c r="K23" s="37"/>
    </row>
    <row r="24" spans="1:11" ht="66.599999999999994" customHeight="1">
      <c r="A24" s="29"/>
      <c r="B24" s="30">
        <v>13</v>
      </c>
      <c r="C24" s="31"/>
      <c r="D24" s="32"/>
      <c r="E24" s="33"/>
      <c r="F24" s="34"/>
      <c r="G24" s="35"/>
      <c r="H24" s="35"/>
      <c r="I24" s="36"/>
      <c r="J24" s="34"/>
      <c r="K24" s="37"/>
    </row>
    <row r="25" spans="1:11" ht="39.9" customHeight="1">
      <c r="A25" s="29"/>
      <c r="B25" s="30"/>
      <c r="C25" s="31"/>
      <c r="D25" s="32"/>
      <c r="E25" s="33"/>
      <c r="F25" s="34"/>
      <c r="G25" s="35"/>
      <c r="H25" s="35"/>
      <c r="I25" s="36"/>
      <c r="J25" s="34"/>
      <c r="K25" s="37"/>
    </row>
    <row r="26" spans="1:11" ht="39.9" customHeight="1">
      <c r="A26" s="29"/>
      <c r="B26" s="30"/>
      <c r="C26" s="31"/>
      <c r="D26" s="32"/>
      <c r="E26" s="38"/>
      <c r="F26" s="39"/>
      <c r="G26" s="40"/>
      <c r="H26" s="35"/>
      <c r="I26" s="36"/>
      <c r="J26" s="34"/>
      <c r="K26" s="37"/>
    </row>
    <row r="27" spans="1:11" ht="39.9" customHeight="1">
      <c r="A27" s="29"/>
      <c r="B27" s="30"/>
      <c r="C27" s="31"/>
      <c r="D27" s="32"/>
      <c r="E27" s="41"/>
      <c r="F27" s="42"/>
      <c r="G27" s="43"/>
      <c r="H27" s="43"/>
      <c r="I27" s="36"/>
      <c r="J27" s="34"/>
      <c r="K27" s="37"/>
    </row>
    <row r="28" spans="1:11" ht="39.9" customHeight="1">
      <c r="A28" s="29"/>
      <c r="B28" s="30"/>
      <c r="C28" s="31"/>
      <c r="D28" s="32"/>
      <c r="E28" s="44"/>
      <c r="F28" s="34"/>
      <c r="G28" s="35"/>
      <c r="H28" s="43"/>
      <c r="I28" s="36"/>
      <c r="J28" s="34"/>
      <c r="K28" s="37"/>
    </row>
    <row r="29" spans="1:11" ht="39.9" customHeight="1">
      <c r="A29" s="29"/>
      <c r="B29" s="30"/>
      <c r="C29" s="31"/>
      <c r="D29" s="32"/>
      <c r="E29" s="44"/>
      <c r="F29" s="45"/>
      <c r="G29" s="35"/>
      <c r="H29" s="43"/>
      <c r="I29" s="36"/>
      <c r="J29" s="34"/>
      <c r="K29" s="37"/>
    </row>
    <row r="30" spans="1:11" ht="39.9" customHeight="1">
      <c r="A30" s="29"/>
      <c r="B30" s="30"/>
      <c r="C30" s="31"/>
      <c r="D30" s="32"/>
      <c r="E30" s="44"/>
      <c r="F30" s="45"/>
      <c r="G30" s="35"/>
      <c r="H30" s="43"/>
      <c r="I30" s="36"/>
      <c r="J30" s="34"/>
      <c r="K30" s="37"/>
    </row>
    <row r="31" spans="1:11" ht="39.9" customHeight="1">
      <c r="A31" s="29"/>
      <c r="B31" s="30"/>
      <c r="C31" s="31"/>
      <c r="D31" s="32"/>
      <c r="E31" s="44"/>
      <c r="F31" s="34"/>
      <c r="G31" s="46"/>
      <c r="H31" s="43"/>
      <c r="I31" s="36"/>
      <c r="J31" s="34"/>
      <c r="K31" s="37"/>
    </row>
    <row r="32" spans="1:11" ht="39.9" customHeight="1">
      <c r="A32" s="29"/>
      <c r="B32" s="30"/>
      <c r="C32" s="31"/>
      <c r="D32" s="32"/>
      <c r="E32" s="33"/>
      <c r="F32" s="34"/>
      <c r="G32" s="35"/>
      <c r="H32" s="35"/>
      <c r="I32" s="36"/>
      <c r="J32" s="34"/>
      <c r="K32" s="37"/>
    </row>
    <row r="33" spans="1:11" ht="39.9" customHeight="1">
      <c r="A33" s="29"/>
      <c r="B33" s="30"/>
      <c r="C33" s="31"/>
      <c r="D33" s="32"/>
      <c r="E33" s="33"/>
      <c r="F33" s="34"/>
      <c r="G33" s="35"/>
      <c r="H33" s="35"/>
      <c r="I33" s="36"/>
      <c r="J33" s="34"/>
      <c r="K33" s="37"/>
    </row>
    <row r="34" spans="1:11" ht="39.9" customHeight="1">
      <c r="A34" s="29"/>
      <c r="B34" s="30"/>
      <c r="C34" s="31"/>
      <c r="D34" s="32"/>
      <c r="E34" s="47"/>
      <c r="F34" s="34"/>
      <c r="G34" s="35"/>
      <c r="H34" s="34"/>
      <c r="I34" s="36"/>
      <c r="J34" s="34"/>
      <c r="K34" s="37"/>
    </row>
    <row r="35" spans="1:11" ht="39.9" customHeight="1">
      <c r="A35" s="29"/>
      <c r="B35" s="30"/>
      <c r="C35" s="31"/>
      <c r="D35" s="32"/>
      <c r="E35" s="33"/>
      <c r="F35" s="34"/>
      <c r="G35" s="35"/>
      <c r="H35" s="34"/>
      <c r="I35" s="36"/>
      <c r="J35" s="34"/>
      <c r="K35" s="37"/>
    </row>
    <row r="36" spans="1:11" ht="39.9" customHeight="1">
      <c r="A36" s="29"/>
      <c r="B36" s="30"/>
      <c r="C36" s="31"/>
      <c r="D36" s="32"/>
      <c r="E36" s="33"/>
      <c r="F36" s="34"/>
      <c r="G36" s="35"/>
      <c r="H36" s="34"/>
      <c r="I36" s="36"/>
      <c r="J36" s="34"/>
      <c r="K36" s="37"/>
    </row>
    <row r="37" spans="1:11" ht="39.9" customHeight="1">
      <c r="A37" s="29"/>
      <c r="B37" s="30"/>
      <c r="C37" s="31"/>
      <c r="D37" s="32"/>
      <c r="E37" s="33"/>
      <c r="F37" s="34"/>
      <c r="G37" s="35"/>
      <c r="H37" s="35"/>
      <c r="I37" s="36"/>
      <c r="J37" s="34"/>
      <c r="K37" s="37"/>
    </row>
    <row r="38" spans="1:11" ht="39.9" customHeight="1">
      <c r="A38" s="29"/>
      <c r="B38" s="30"/>
      <c r="C38" s="31"/>
      <c r="D38" s="32"/>
      <c r="E38" s="33"/>
      <c r="F38" s="34"/>
      <c r="G38" s="35"/>
      <c r="H38" s="35"/>
      <c r="I38" s="36"/>
      <c r="J38" s="34"/>
      <c r="K38" s="37"/>
    </row>
    <row r="39" spans="1:11" ht="39.9" customHeight="1">
      <c r="A39" s="29"/>
      <c r="B39" s="30"/>
      <c r="C39" s="31"/>
      <c r="D39" s="32"/>
      <c r="E39" s="33"/>
      <c r="F39" s="34"/>
      <c r="G39" s="35"/>
      <c r="H39" s="35"/>
      <c r="I39" s="36"/>
      <c r="J39" s="34"/>
      <c r="K39" s="37"/>
    </row>
    <row r="40" spans="1:11" ht="39.9" customHeight="1">
      <c r="A40" s="29"/>
      <c r="B40" s="30"/>
      <c r="C40" s="31"/>
      <c r="D40" s="32"/>
      <c r="E40" s="33"/>
      <c r="F40" s="34"/>
      <c r="G40" s="35"/>
      <c r="H40" s="35"/>
      <c r="I40" s="36"/>
      <c r="J40" s="34"/>
      <c r="K40" s="37"/>
    </row>
    <row r="41" spans="1:11" ht="39.9" customHeight="1">
      <c r="A41" s="29"/>
      <c r="B41" s="30"/>
      <c r="C41" s="31"/>
      <c r="D41" s="32"/>
      <c r="E41" s="33"/>
      <c r="F41" s="34"/>
      <c r="G41" s="35"/>
      <c r="H41" s="35"/>
      <c r="I41" s="36"/>
      <c r="J41" s="34"/>
      <c r="K41" s="37"/>
    </row>
    <row r="42" spans="1:11" ht="39.9" customHeight="1">
      <c r="A42" s="29"/>
      <c r="B42" s="30"/>
      <c r="C42" s="31"/>
      <c r="D42" s="32"/>
      <c r="E42" s="33"/>
      <c r="F42" s="34"/>
      <c r="G42" s="35"/>
      <c r="H42" s="35"/>
      <c r="I42" s="36"/>
      <c r="J42" s="34"/>
      <c r="K42" s="37"/>
    </row>
    <row r="43" spans="1:11" ht="39.9" customHeight="1">
      <c r="A43" s="29"/>
      <c r="B43" s="30"/>
      <c r="C43" s="31"/>
      <c r="D43" s="32"/>
      <c r="E43" s="33"/>
      <c r="F43" s="34"/>
      <c r="G43" s="35"/>
      <c r="H43" s="35"/>
      <c r="I43" s="36"/>
      <c r="J43" s="34"/>
      <c r="K43" s="37"/>
    </row>
    <row r="44" spans="1:11" ht="39.9" customHeight="1">
      <c r="A44" s="29"/>
      <c r="B44" s="30"/>
      <c r="C44" s="31"/>
      <c r="D44" s="32"/>
      <c r="E44" s="33"/>
      <c r="F44" s="34"/>
      <c r="G44" s="35"/>
      <c r="H44" s="35"/>
      <c r="I44" s="36"/>
      <c r="J44" s="34"/>
      <c r="K44" s="37"/>
    </row>
    <row r="45" spans="1:11" ht="39.9" customHeight="1">
      <c r="A45" s="29"/>
      <c r="B45" s="30"/>
      <c r="C45" s="31"/>
      <c r="D45" s="32"/>
      <c r="E45" s="33"/>
      <c r="F45" s="34"/>
      <c r="G45" s="35"/>
      <c r="H45" s="35"/>
      <c r="I45" s="36"/>
      <c r="J45" s="34"/>
      <c r="K45" s="37"/>
    </row>
    <row r="46" spans="1:11" ht="39.9" customHeight="1">
      <c r="A46" s="29"/>
      <c r="B46" s="30"/>
      <c r="C46" s="31"/>
      <c r="D46" s="32"/>
      <c r="E46" s="33"/>
      <c r="F46" s="34"/>
      <c r="G46" s="35"/>
      <c r="H46" s="35"/>
      <c r="I46" s="36"/>
      <c r="J46" s="34"/>
      <c r="K46" s="37"/>
    </row>
    <row r="47" spans="1:11" ht="39.9" customHeight="1">
      <c r="A47" s="29"/>
      <c r="B47" s="30"/>
      <c r="C47" s="31"/>
      <c r="D47" s="32"/>
      <c r="E47" s="33"/>
      <c r="F47" s="34"/>
      <c r="G47" s="35"/>
      <c r="H47" s="35"/>
      <c r="I47" s="36"/>
      <c r="J47" s="34"/>
      <c r="K47" s="37"/>
    </row>
    <row r="48" spans="1:11" ht="39.9" customHeight="1">
      <c r="A48" s="29"/>
      <c r="B48" s="30"/>
      <c r="C48" s="31"/>
      <c r="D48" s="32"/>
      <c r="E48" s="33"/>
      <c r="F48" s="34"/>
      <c r="G48" s="35"/>
      <c r="H48" s="35"/>
      <c r="I48" s="36"/>
      <c r="J48" s="34"/>
      <c r="K48" s="37"/>
    </row>
    <row r="49" spans="1:11" ht="39.9" customHeight="1">
      <c r="A49" s="29"/>
      <c r="B49" s="30"/>
      <c r="C49" s="31"/>
      <c r="D49" s="32"/>
      <c r="E49" s="33"/>
      <c r="F49" s="34"/>
      <c r="G49" s="35"/>
      <c r="H49" s="35"/>
      <c r="I49" s="36"/>
      <c r="J49" s="34"/>
      <c r="K49" s="37"/>
    </row>
    <row r="50" spans="1:11" ht="39.6" customHeight="1">
      <c r="A50" s="29"/>
      <c r="B50" s="30"/>
      <c r="C50" s="31"/>
      <c r="D50" s="32"/>
      <c r="E50" s="33"/>
      <c r="F50" s="34"/>
      <c r="G50" s="35"/>
      <c r="H50" s="35"/>
      <c r="I50" s="36"/>
      <c r="J50" s="34"/>
      <c r="K50" s="37"/>
    </row>
    <row r="51" spans="1:11" ht="39.9" customHeight="1">
      <c r="A51" s="29"/>
      <c r="B51" s="30"/>
      <c r="C51" s="31"/>
      <c r="D51" s="32"/>
      <c r="E51" s="33"/>
      <c r="F51" s="34"/>
      <c r="G51" s="35"/>
      <c r="H51" s="35"/>
      <c r="I51" s="36"/>
      <c r="J51" s="34"/>
      <c r="K51" s="37"/>
    </row>
    <row r="52" spans="1:11" ht="39.9" customHeight="1">
      <c r="A52" s="29"/>
      <c r="B52" s="30"/>
      <c r="C52" s="31"/>
      <c r="D52" s="32"/>
      <c r="E52" s="33"/>
      <c r="F52" s="34"/>
      <c r="G52" s="35"/>
      <c r="H52" s="35"/>
      <c r="I52" s="36"/>
      <c r="J52" s="34"/>
      <c r="K52" s="37"/>
    </row>
    <row r="53" spans="1:11" ht="39.9" customHeight="1">
      <c r="A53" s="29"/>
      <c r="B53" s="30"/>
      <c r="C53" s="31"/>
      <c r="D53" s="32"/>
      <c r="E53" s="33"/>
      <c r="F53" s="34"/>
      <c r="G53" s="35"/>
      <c r="H53" s="35"/>
      <c r="I53" s="36"/>
      <c r="J53" s="34"/>
      <c r="K53" s="37"/>
    </row>
    <row r="54" spans="1:11" ht="39.9" customHeight="1">
      <c r="A54" s="29"/>
      <c r="B54" s="30"/>
      <c r="C54" s="31"/>
      <c r="D54" s="32"/>
      <c r="E54" s="33"/>
      <c r="F54" s="34"/>
      <c r="G54" s="35"/>
      <c r="H54" s="35"/>
      <c r="I54" s="36"/>
      <c r="J54" s="34"/>
      <c r="K54" s="37"/>
    </row>
    <row r="55" spans="1:11" ht="39.9" customHeight="1">
      <c r="A55" s="29"/>
      <c r="B55" s="30"/>
      <c r="C55" s="31"/>
      <c r="D55" s="32"/>
      <c r="E55" s="33"/>
      <c r="F55" s="34"/>
      <c r="G55" s="35"/>
      <c r="H55" s="35"/>
      <c r="I55" s="36"/>
      <c r="J55" s="34"/>
      <c r="K55" s="37"/>
    </row>
    <row r="56" spans="1:11" ht="39.9" customHeight="1">
      <c r="A56" s="29"/>
      <c r="B56" s="30"/>
      <c r="C56" s="31"/>
      <c r="D56" s="32"/>
      <c r="E56" s="33"/>
      <c r="F56" s="34"/>
      <c r="G56" s="35"/>
      <c r="H56" s="35"/>
      <c r="I56" s="36"/>
      <c r="J56" s="34"/>
      <c r="K56" s="37"/>
    </row>
    <row r="57" spans="1:11" ht="39.6" customHeight="1">
      <c r="A57" s="29"/>
      <c r="B57" s="30"/>
      <c r="C57" s="31"/>
      <c r="D57" s="32"/>
      <c r="E57" s="33"/>
      <c r="F57" s="34"/>
      <c r="G57" s="35"/>
      <c r="H57" s="35"/>
      <c r="I57" s="36"/>
      <c r="J57" s="34"/>
      <c r="K57" s="37"/>
    </row>
    <row r="58" spans="1:11" ht="70.2" customHeight="1">
      <c r="A58" s="29"/>
      <c r="B58" s="30"/>
      <c r="C58" s="31"/>
      <c r="D58" s="32"/>
      <c r="E58" s="33"/>
      <c r="F58" s="34"/>
      <c r="G58" s="35"/>
      <c r="H58" s="35"/>
      <c r="I58" s="36"/>
      <c r="J58" s="34"/>
      <c r="K58" s="37"/>
    </row>
    <row r="59" spans="1:11" ht="39.9" customHeight="1">
      <c r="A59" s="29"/>
      <c r="B59" s="30"/>
      <c r="C59" s="31"/>
      <c r="D59" s="32"/>
      <c r="E59" s="33"/>
      <c r="F59" s="34"/>
      <c r="G59" s="35"/>
      <c r="H59" s="35"/>
      <c r="I59" s="36"/>
      <c r="J59" s="34"/>
      <c r="K59" s="37"/>
    </row>
    <row r="60" spans="1:11" ht="39.9" customHeight="1">
      <c r="A60" s="29"/>
      <c r="B60" s="30"/>
      <c r="C60" s="31"/>
      <c r="D60" s="48"/>
      <c r="E60" s="33"/>
      <c r="F60" s="34"/>
      <c r="G60" s="35"/>
      <c r="H60" s="35"/>
      <c r="I60" s="36"/>
      <c r="J60" s="34"/>
      <c r="K60" s="37"/>
    </row>
    <row r="61" spans="1:11" ht="39.9" customHeight="1">
      <c r="A61" s="29"/>
      <c r="B61" s="30"/>
      <c r="C61" s="31"/>
      <c r="D61" s="48"/>
      <c r="E61" s="33"/>
      <c r="F61" s="34"/>
      <c r="G61" s="35"/>
      <c r="H61" s="35"/>
      <c r="I61" s="36"/>
      <c r="J61" s="34"/>
      <c r="K61" s="37"/>
    </row>
    <row r="62" spans="1:11" ht="39.9" customHeight="1">
      <c r="A62" s="29"/>
      <c r="B62" s="30"/>
      <c r="C62" s="31"/>
      <c r="D62" s="32"/>
      <c r="E62" s="33"/>
      <c r="F62" s="34"/>
      <c r="G62" s="35"/>
      <c r="H62" s="35"/>
      <c r="I62" s="36"/>
      <c r="J62" s="34"/>
      <c r="K62" s="37"/>
    </row>
    <row r="63" spans="1:11" ht="39.9" customHeight="1">
      <c r="A63" s="29"/>
      <c r="B63" s="30"/>
      <c r="C63" s="31"/>
      <c r="D63" s="32"/>
      <c r="E63" s="33"/>
      <c r="F63" s="34"/>
      <c r="G63" s="35"/>
      <c r="H63" s="35"/>
      <c r="I63" s="36"/>
      <c r="J63" s="34"/>
      <c r="K63" s="37"/>
    </row>
    <row r="64" spans="1:11" ht="39.9" customHeight="1">
      <c r="A64" s="29"/>
      <c r="B64" s="30"/>
      <c r="C64" s="31"/>
      <c r="D64" s="48"/>
      <c r="E64" s="33"/>
      <c r="F64" s="34"/>
      <c r="G64" s="35"/>
      <c r="H64" s="35"/>
      <c r="I64" s="36"/>
      <c r="J64" s="34"/>
      <c r="K64" s="37"/>
    </row>
    <row r="65" spans="1:11" ht="39.9" customHeight="1">
      <c r="A65" s="29"/>
      <c r="B65" s="30"/>
      <c r="C65" s="31"/>
      <c r="D65" s="32"/>
      <c r="E65" s="33"/>
      <c r="F65" s="34"/>
      <c r="G65" s="35"/>
      <c r="H65" s="35"/>
      <c r="I65" s="36"/>
      <c r="J65" s="34"/>
      <c r="K65" s="37"/>
    </row>
    <row r="66" spans="1:11" ht="39.9" customHeight="1">
      <c r="A66" s="29"/>
      <c r="B66" s="30"/>
      <c r="C66" s="31"/>
      <c r="D66" s="32"/>
      <c r="E66" s="33"/>
      <c r="F66" s="34"/>
      <c r="G66" s="35"/>
      <c r="H66" s="34"/>
      <c r="I66" s="36"/>
      <c r="J66" s="34"/>
      <c r="K66" s="37"/>
    </row>
    <row r="67" spans="1:11" ht="39.9" customHeight="1">
      <c r="A67" s="29"/>
      <c r="B67" s="30"/>
      <c r="C67" s="31"/>
      <c r="D67" s="32"/>
      <c r="E67" s="33"/>
      <c r="F67" s="34"/>
      <c r="G67" s="35"/>
      <c r="H67" s="34"/>
      <c r="I67" s="36"/>
      <c r="J67" s="34"/>
      <c r="K67" s="37"/>
    </row>
    <row r="68" spans="1:11" ht="39.9" customHeight="1">
      <c r="A68" s="29"/>
      <c r="B68" s="30"/>
      <c r="C68" s="31"/>
      <c r="D68" s="32"/>
      <c r="E68" s="33"/>
      <c r="F68" s="34"/>
      <c r="G68" s="35"/>
      <c r="H68" s="35"/>
      <c r="I68" s="36"/>
      <c r="J68" s="34"/>
      <c r="K68" s="37"/>
    </row>
    <row r="69" spans="1:11" ht="39.9" customHeight="1">
      <c r="A69" s="29"/>
      <c r="B69" s="30"/>
      <c r="C69" s="31"/>
      <c r="D69" s="32"/>
      <c r="E69" s="33"/>
      <c r="F69" s="34"/>
      <c r="G69" s="35"/>
      <c r="H69" s="35"/>
      <c r="I69" s="36"/>
      <c r="J69" s="34"/>
      <c r="K69" s="37"/>
    </row>
    <row r="70" spans="1:11" ht="49.8" customHeight="1">
      <c r="A70" s="29"/>
      <c r="B70" s="30"/>
      <c r="C70" s="31"/>
      <c r="D70" s="48"/>
      <c r="E70" s="33"/>
      <c r="F70" s="34"/>
      <c r="G70" s="35"/>
      <c r="H70" s="35"/>
      <c r="I70" s="36"/>
      <c r="J70" s="34"/>
      <c r="K70" s="37"/>
    </row>
    <row r="71" spans="1:11" ht="39.9" customHeight="1">
      <c r="A71" s="29"/>
      <c r="B71" s="30"/>
      <c r="C71" s="31"/>
      <c r="D71" s="48"/>
      <c r="E71" s="33"/>
      <c r="F71" s="34"/>
      <c r="G71" s="35"/>
      <c r="H71" s="35"/>
      <c r="I71" s="36"/>
      <c r="J71" s="34"/>
      <c r="K71" s="37"/>
    </row>
    <row r="72" spans="1:11" ht="39.9" customHeight="1">
      <c r="A72" s="29"/>
      <c r="B72" s="30"/>
      <c r="C72" s="31"/>
      <c r="D72" s="48"/>
      <c r="E72" s="33"/>
      <c r="F72" s="34"/>
      <c r="G72" s="35"/>
      <c r="H72" s="35"/>
      <c r="I72" s="36"/>
      <c r="J72" s="34"/>
      <c r="K72" s="37"/>
    </row>
    <row r="73" spans="1:11" ht="39.9" customHeight="1">
      <c r="A73" s="29"/>
      <c r="B73" s="30"/>
      <c r="C73" s="31"/>
      <c r="D73" s="48"/>
      <c r="E73" s="33"/>
      <c r="F73" s="34"/>
      <c r="G73" s="35"/>
      <c r="H73" s="35"/>
      <c r="I73" s="36"/>
      <c r="J73" s="34"/>
      <c r="K73" s="37"/>
    </row>
    <row r="74" spans="1:11" ht="39.9" customHeight="1">
      <c r="A74" s="29"/>
      <c r="B74" s="30"/>
      <c r="C74" s="31"/>
      <c r="D74" s="48"/>
      <c r="E74" s="33"/>
      <c r="F74" s="34"/>
      <c r="G74" s="35"/>
      <c r="H74" s="35"/>
      <c r="I74" s="36"/>
      <c r="J74" s="34"/>
      <c r="K74" s="37"/>
    </row>
    <row r="75" spans="1:11" ht="39.9" customHeight="1">
      <c r="A75" s="29"/>
      <c r="B75" s="30"/>
      <c r="C75" s="31"/>
      <c r="D75" s="48"/>
      <c r="E75" s="33"/>
      <c r="F75" s="34"/>
      <c r="G75" s="35"/>
      <c r="H75" s="35"/>
      <c r="I75" s="36"/>
      <c r="J75" s="34"/>
      <c r="K75" s="37"/>
    </row>
    <row r="76" spans="1:11" ht="39.9" customHeight="1">
      <c r="A76" s="29"/>
      <c r="B76" s="30"/>
      <c r="C76" s="31"/>
      <c r="D76" s="48"/>
      <c r="E76" s="33"/>
      <c r="F76" s="34"/>
      <c r="G76" s="35"/>
      <c r="H76" s="35"/>
      <c r="I76" s="36"/>
      <c r="J76" s="34"/>
      <c r="K76" s="37"/>
    </row>
    <row r="77" spans="1:11" ht="39.9" customHeight="1">
      <c r="A77" s="29"/>
      <c r="B77" s="30"/>
      <c r="C77" s="31"/>
      <c r="D77" s="48"/>
      <c r="E77" s="33"/>
      <c r="F77" s="34"/>
      <c r="G77" s="35"/>
      <c r="H77" s="35"/>
      <c r="I77" s="36"/>
      <c r="J77" s="34"/>
      <c r="K77" s="37"/>
    </row>
    <row r="78" spans="1:11" ht="39.9" customHeight="1">
      <c r="A78" s="29"/>
      <c r="B78" s="30"/>
      <c r="C78" s="31"/>
      <c r="D78" s="48"/>
      <c r="E78" s="33"/>
      <c r="F78" s="34"/>
      <c r="G78" s="35"/>
      <c r="H78" s="35"/>
      <c r="I78" s="36"/>
      <c r="J78" s="34"/>
      <c r="K78" s="37"/>
    </row>
    <row r="79" spans="1:11" ht="39.9" customHeight="1">
      <c r="A79" s="29"/>
      <c r="B79" s="30"/>
      <c r="C79" s="31"/>
      <c r="D79" s="48"/>
      <c r="E79" s="33"/>
      <c r="F79" s="34"/>
      <c r="G79" s="35"/>
      <c r="H79" s="35"/>
      <c r="I79" s="36"/>
      <c r="J79" s="34"/>
      <c r="K79" s="37"/>
    </row>
    <row r="80" spans="1:11" ht="39.9" customHeight="1">
      <c r="A80" s="29"/>
      <c r="B80" s="30"/>
      <c r="C80" s="31"/>
      <c r="D80" s="32"/>
      <c r="E80" s="33"/>
      <c r="F80" s="34"/>
      <c r="G80" s="35"/>
      <c r="H80" s="35"/>
      <c r="I80" s="36"/>
      <c r="J80" s="34"/>
      <c r="K80" s="37"/>
    </row>
    <row r="81" spans="1:11" ht="39.9" customHeight="1">
      <c r="A81" s="29"/>
      <c r="B81" s="30"/>
      <c r="C81" s="31"/>
      <c r="D81" s="32"/>
      <c r="E81" s="33"/>
      <c r="F81" s="34"/>
      <c r="G81" s="35"/>
      <c r="H81" s="35"/>
      <c r="I81" s="36"/>
      <c r="J81" s="34"/>
      <c r="K81" s="37"/>
    </row>
    <row r="82" spans="1:11" ht="60.6" customHeight="1">
      <c r="A82" s="29"/>
      <c r="B82" s="30"/>
      <c r="C82" s="31"/>
      <c r="D82" s="48"/>
      <c r="E82" s="33"/>
      <c r="F82" s="34"/>
      <c r="G82" s="35"/>
      <c r="H82" s="34"/>
      <c r="I82" s="36"/>
      <c r="J82" s="34"/>
      <c r="K82" s="37"/>
    </row>
    <row r="83" spans="1:11" ht="39.9" customHeight="1">
      <c r="A83" s="29"/>
      <c r="B83" s="30"/>
      <c r="C83" s="31"/>
      <c r="D83" s="48"/>
      <c r="E83" s="33"/>
      <c r="F83" s="34"/>
      <c r="G83" s="35"/>
      <c r="H83" s="35"/>
      <c r="I83" s="36"/>
      <c r="J83" s="34"/>
      <c r="K83" s="37"/>
    </row>
    <row r="84" spans="1:11" ht="39.9" customHeight="1">
      <c r="A84" s="29"/>
      <c r="B84" s="30"/>
      <c r="C84" s="49"/>
      <c r="D84" s="33"/>
      <c r="E84" s="33"/>
      <c r="F84" s="34"/>
      <c r="G84" s="35"/>
      <c r="H84" s="34"/>
      <c r="I84" s="36"/>
      <c r="J84" s="34"/>
      <c r="K84" s="37"/>
    </row>
    <row r="85" spans="1:11" ht="39.9" customHeight="1">
      <c r="A85" s="29"/>
      <c r="B85" s="30"/>
      <c r="C85" s="49"/>
      <c r="D85" s="33"/>
      <c r="E85" s="33"/>
      <c r="F85" s="34"/>
      <c r="G85" s="35"/>
      <c r="H85" s="34"/>
      <c r="I85" s="36"/>
      <c r="J85" s="34"/>
      <c r="K85" s="37"/>
    </row>
    <row r="86" spans="1:11" ht="39.9" customHeight="1">
      <c r="A86" s="29"/>
      <c r="B86" s="30"/>
      <c r="C86" s="49"/>
      <c r="D86" s="33"/>
      <c r="E86" s="33"/>
      <c r="F86" s="34"/>
      <c r="G86" s="35"/>
      <c r="H86" s="34"/>
      <c r="I86" s="36"/>
      <c r="J86" s="34"/>
      <c r="K86" s="37"/>
    </row>
    <row r="87" spans="1:11" ht="39.9" customHeight="1">
      <c r="A87" s="29"/>
      <c r="B87" s="30"/>
      <c r="C87" s="49"/>
      <c r="D87" s="33"/>
      <c r="E87" s="33"/>
      <c r="F87" s="34"/>
      <c r="G87" s="35"/>
      <c r="H87" s="34"/>
      <c r="I87" s="36"/>
      <c r="J87" s="34"/>
      <c r="K87" s="37"/>
    </row>
    <row r="88" spans="1:11" ht="39.9" customHeight="1">
      <c r="A88" s="29"/>
      <c r="B88" s="30"/>
      <c r="C88" s="49"/>
      <c r="D88" s="33"/>
      <c r="E88" s="33"/>
      <c r="F88" s="34"/>
      <c r="G88" s="35"/>
      <c r="H88" s="34"/>
      <c r="I88" s="36"/>
      <c r="J88" s="34"/>
      <c r="K88" s="37"/>
    </row>
    <row r="89" spans="1:11" ht="39.9" customHeight="1">
      <c r="A89" s="29"/>
      <c r="B89" s="30"/>
      <c r="C89" s="49"/>
      <c r="D89" s="33"/>
      <c r="E89" s="33"/>
      <c r="F89" s="34"/>
      <c r="G89" s="35"/>
      <c r="H89" s="34"/>
      <c r="I89" s="36"/>
      <c r="J89" s="34"/>
      <c r="K89" s="37"/>
    </row>
    <row r="90" spans="1:11">
      <c r="I90" s="50"/>
    </row>
  </sheetData>
  <sheetProtection formatCells="0" formatColumns="0" formatRows="0" insertColumns="0" insertRows="0" insertHyperlinks="0" deleteColumns="0" deleteRows="0" sort="0" autoFilter="0" pivotTables="0"/>
  <mergeCells count="12">
    <mergeCell ref="K9:K11"/>
    <mergeCell ref="A2:B4"/>
    <mergeCell ref="C2:J4"/>
    <mergeCell ref="A9:A11"/>
    <mergeCell ref="B9:B11"/>
    <mergeCell ref="C9:C11"/>
    <mergeCell ref="D9:D11"/>
    <mergeCell ref="E9:E11"/>
    <mergeCell ref="F9:F11"/>
    <mergeCell ref="G9:H9"/>
    <mergeCell ref="I9:I11"/>
    <mergeCell ref="J9:J11"/>
  </mergeCells>
  <conditionalFormatting sqref="I12:I89">
    <cfRule type="cellIs" dxfId="4" priority="1" operator="equal">
      <formula>"x"</formula>
    </cfRule>
    <cfRule type="cellIs" dxfId="3" priority="5" operator="equal">
      <formula>"X"</formula>
    </cfRule>
  </conditionalFormatting>
  <conditionalFormatting sqref="J9:J89">
    <cfRule type="cellIs" dxfId="2" priority="2" operator="equal">
      <formula>"Annulée"</formula>
    </cfRule>
    <cfRule type="cellIs" dxfId="1" priority="3" operator="equal">
      <formula>"En cours"</formula>
    </cfRule>
    <cfRule type="cellIs" dxfId="0" priority="4" operator="equal">
      <formula>"Clôturée"</formula>
    </cfRule>
  </conditionalFormatting>
  <dataValidations count="2">
    <dataValidation type="list" allowBlank="1" showInputMessage="1" showErrorMessage="1" sqref="J5 J1 J8:J1048576" xr:uid="{887E4D5E-60BC-4527-98B9-0B35F4F50483}">
      <formula1>"Clôturée,En cours,Annulée"</formula1>
    </dataValidation>
    <dataValidation type="list" allowBlank="1" showInputMessage="1" showErrorMessage="1" sqref="K12:K89" xr:uid="{8BC17A95-8542-4D8D-AA62-47C9D42A6A6A}">
      <formula1>"Oui,Partiellement,Non"</formula1>
    </dataValidation>
  </dataValidations>
  <printOptions horizontalCentered="1"/>
  <pageMargins left="0" right="3.937007874015748E-2" top="0.43307086614173229" bottom="0.47244094488188981" header="0" footer="7.874015748031496E-2"/>
  <pageSetup paperSize="9" scale="13" orientation="landscape" r:id="rId1"/>
  <headerFooter>
    <oddFooter xml:space="preserve">&amp;RCe document est la propriété de TTEI et ne peut être utilisé par une tierce partie qu’après une autorisation écrite de la direction générale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EOT</vt:lpstr>
      <vt:lpstr>PAC</vt:lpstr>
      <vt:lpstr>EOT!Zone_d_impression</vt:lpstr>
      <vt:lpstr>PAC!Zone_d_impression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Ayari</dc:creator>
  <cp:lastModifiedBy>Dhiaeddine Mediouni</cp:lastModifiedBy>
  <dcterms:created xsi:type="dcterms:W3CDTF">2025-02-21T10:42:12Z</dcterms:created>
  <dcterms:modified xsi:type="dcterms:W3CDTF">2026-01-08T15:43:56Z</dcterms:modified>
</cp:coreProperties>
</file>