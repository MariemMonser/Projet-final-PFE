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14-Amélioration Continue\Amélioration_Continue_2026\Batiment_Infrastructure_2026\02-Suivi_Eau_Electricité_Technicien_Batiment_2026\"/>
    </mc:Choice>
  </mc:AlternateContent>
  <xr:revisionPtr revIDLastSave="0" documentId="13_ncr:1_{9CD97A49-9CB7-42FE-BE05-54669E9AE7DA}" xr6:coauthVersionLast="47" xr6:coauthVersionMax="47" xr10:uidLastSave="{00000000-0000-0000-0000-000000000000}"/>
  <bookViews>
    <workbookView xWindow="-120" yWindow="-120" windowWidth="20730" windowHeight="11160" activeTab="1" xr2:uid="{84D359A9-D58D-4F7A-B9E7-62AD151119BF}"/>
  </bookViews>
  <sheets>
    <sheet name="EAU-01" sheetId="1" r:id="rId1"/>
    <sheet name="EAU-02" sheetId="7" r:id="rId2"/>
    <sheet name="KWH-01" sheetId="2" r:id="rId3"/>
    <sheet name="KWH-02" sheetId="6" r:id="rId4"/>
    <sheet name="RECAP" sheetId="3" r:id="rId5"/>
    <sheet name="courbe-EAU" sheetId="4" r:id="rId6"/>
    <sheet name="courbe-Electricité" sheetId="5" r:id="rId7"/>
  </sheets>
  <definedNames>
    <definedName name="_xlnm.Print_Area" localSheetId="0">'EAU-01'!$A$1:$I$43</definedName>
    <definedName name="_xlnm.Print_Area" localSheetId="1">'EAU-02'!$A$1:$I$40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" l="1"/>
  <c r="D15" i="7"/>
  <c r="D16" i="7"/>
  <c r="D13" i="7"/>
  <c r="D12" i="7"/>
  <c r="C16" i="6"/>
  <c r="D8" i="7"/>
  <c r="D9" i="7"/>
  <c r="H33" i="7"/>
  <c r="H35" i="1"/>
  <c r="D7" i="7"/>
  <c r="D8" i="6"/>
  <c r="E8" i="6"/>
  <c r="E9" i="6" s="1"/>
  <c r="F8" i="6"/>
  <c r="F9" i="6" s="1"/>
  <c r="G8" i="6"/>
  <c r="G9" i="6" s="1"/>
  <c r="D9" i="6"/>
  <c r="D6" i="7"/>
  <c r="D37" i="1"/>
  <c r="D5" i="7"/>
  <c r="H26" i="7"/>
  <c r="C9" i="6"/>
  <c r="C8" i="6"/>
  <c r="G32" i="6"/>
  <c r="G33" i="6" s="1"/>
  <c r="F32" i="6"/>
  <c r="F33" i="6" s="1"/>
  <c r="E32" i="6"/>
  <c r="E33" i="6" s="1"/>
  <c r="D32" i="6"/>
  <c r="D33" i="6" s="1"/>
  <c r="C32" i="6"/>
  <c r="C33" i="6" s="1"/>
  <c r="G24" i="6"/>
  <c r="G25" i="6" s="1"/>
  <c r="F24" i="6"/>
  <c r="F25" i="6" s="1"/>
  <c r="D24" i="6"/>
  <c r="D25" i="6" s="1"/>
  <c r="C24" i="6"/>
  <c r="C25" i="6" s="1"/>
  <c r="E24" i="6"/>
  <c r="E25" i="6" s="1"/>
  <c r="G16" i="6"/>
  <c r="G17" i="6" s="1"/>
  <c r="F16" i="6"/>
  <c r="F17" i="6" s="1"/>
  <c r="E16" i="6"/>
  <c r="E17" i="6" s="1"/>
  <c r="D16" i="6"/>
  <c r="C17" i="6"/>
  <c r="D32" i="1"/>
  <c r="H17" i="3"/>
  <c r="D17" i="3"/>
  <c r="D34" i="1"/>
  <c r="D33" i="1"/>
  <c r="D31" i="1"/>
  <c r="D30" i="1"/>
  <c r="E39" i="2"/>
  <c r="E40" i="2" s="1"/>
  <c r="F39" i="2"/>
  <c r="F40" i="2" s="1"/>
  <c r="G39" i="2"/>
  <c r="G40" i="2" s="1"/>
  <c r="D39" i="2"/>
  <c r="D40" i="2" s="1"/>
  <c r="C40" i="2"/>
  <c r="C39" i="2"/>
  <c r="D33" i="2"/>
  <c r="G33" i="2"/>
  <c r="E33" i="2"/>
  <c r="F33" i="2"/>
  <c r="C33" i="2"/>
  <c r="D27" i="1"/>
  <c r="D26" i="1"/>
  <c r="D25" i="1"/>
  <c r="D24" i="1"/>
  <c r="I9" i="2"/>
  <c r="I8" i="2"/>
  <c r="H12" i="7" l="1"/>
  <c r="D34" i="7"/>
  <c r="H19" i="7"/>
  <c r="J8" i="6"/>
  <c r="J33" i="6"/>
  <c r="J9" i="6"/>
  <c r="J16" i="6"/>
  <c r="J25" i="6"/>
  <c r="J24" i="6"/>
  <c r="J32" i="6"/>
  <c r="D17" i="6"/>
  <c r="J17" i="6" s="1"/>
  <c r="H14" i="3"/>
  <c r="H15" i="3"/>
  <c r="H16" i="3"/>
  <c r="D65" i="3"/>
  <c r="H65" i="3"/>
  <c r="D66" i="3"/>
  <c r="H66" i="3"/>
  <c r="D14" i="3"/>
  <c r="D15" i="3"/>
  <c r="D16" i="3"/>
  <c r="D18" i="3"/>
  <c r="H18" i="3"/>
  <c r="D19" i="3"/>
  <c r="H19" i="3"/>
  <c r="D20" i="3"/>
  <c r="H20" i="3"/>
  <c r="D21" i="3"/>
  <c r="H21" i="3"/>
  <c r="D22" i="3"/>
  <c r="H22" i="3"/>
  <c r="D23" i="3"/>
  <c r="H23" i="3"/>
  <c r="D24" i="3"/>
  <c r="H24" i="3"/>
  <c r="D25" i="3"/>
  <c r="H25" i="3"/>
  <c r="D26" i="3"/>
  <c r="H26" i="3"/>
  <c r="D27" i="3"/>
  <c r="H27" i="3"/>
  <c r="D28" i="3"/>
  <c r="H28" i="3"/>
  <c r="D29" i="3"/>
  <c r="H29" i="3"/>
  <c r="D30" i="3"/>
  <c r="H30" i="3"/>
  <c r="D31" i="3"/>
  <c r="H31" i="3"/>
  <c r="D32" i="3"/>
  <c r="H32" i="3"/>
  <c r="D33" i="3"/>
  <c r="H33" i="3"/>
  <c r="D34" i="3"/>
  <c r="H34" i="3"/>
  <c r="D35" i="3"/>
  <c r="H35" i="3"/>
  <c r="D36" i="3"/>
  <c r="H36" i="3"/>
  <c r="D37" i="3"/>
  <c r="H37" i="3"/>
  <c r="D38" i="3"/>
  <c r="H38" i="3"/>
  <c r="D39" i="3"/>
  <c r="H39" i="3"/>
  <c r="D40" i="3"/>
  <c r="H40" i="3"/>
  <c r="D41" i="3"/>
  <c r="H41" i="3"/>
  <c r="D42" i="3"/>
  <c r="H42" i="3"/>
  <c r="D43" i="3"/>
  <c r="H43" i="3"/>
  <c r="D44" i="3"/>
  <c r="H44" i="3"/>
  <c r="D45" i="3"/>
  <c r="H45" i="3"/>
  <c r="D46" i="3"/>
  <c r="H46" i="3"/>
  <c r="D47" i="3"/>
  <c r="H47" i="3"/>
  <c r="D48" i="3"/>
  <c r="H48" i="3"/>
  <c r="D49" i="3"/>
  <c r="H49" i="3"/>
  <c r="D50" i="3"/>
  <c r="H50" i="3"/>
  <c r="D51" i="3"/>
  <c r="H51" i="3"/>
  <c r="D52" i="3"/>
  <c r="H52" i="3"/>
  <c r="D53" i="3"/>
  <c r="H53" i="3"/>
  <c r="D54" i="3"/>
  <c r="H54" i="3"/>
  <c r="D55" i="3"/>
  <c r="H55" i="3"/>
  <c r="D56" i="3"/>
  <c r="H56" i="3"/>
  <c r="D57" i="3"/>
  <c r="H57" i="3"/>
  <c r="D58" i="3"/>
  <c r="H58" i="3"/>
  <c r="D59" i="3"/>
  <c r="H59" i="3"/>
  <c r="D60" i="3"/>
  <c r="H60" i="3"/>
  <c r="D61" i="3"/>
  <c r="H61" i="3"/>
  <c r="D62" i="3"/>
  <c r="H62" i="3"/>
  <c r="D63" i="3"/>
  <c r="H63" i="3"/>
  <c r="D64" i="3"/>
  <c r="H64" i="3"/>
  <c r="D13" i="3"/>
  <c r="H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H34" i="7" l="1"/>
  <c r="D23" i="1"/>
  <c r="H30" i="1" s="1"/>
  <c r="C32" i="2"/>
  <c r="G24" i="2"/>
  <c r="G25" i="2" s="1"/>
  <c r="D20" i="1"/>
  <c r="D19" i="1"/>
  <c r="F25" i="2"/>
  <c r="F24" i="2"/>
  <c r="E25" i="2"/>
  <c r="E24" i="2"/>
  <c r="D23" i="2"/>
  <c r="D17" i="1"/>
  <c r="D16" i="1"/>
  <c r="D13" i="1"/>
  <c r="J9" i="2"/>
  <c r="J8" i="2"/>
  <c r="D12" i="1"/>
  <c r="F16" i="2"/>
  <c r="F17" i="2" s="1"/>
  <c r="G16" i="2"/>
  <c r="G17" i="2" s="1"/>
  <c r="E17" i="2"/>
  <c r="E16" i="2"/>
  <c r="D11" i="1"/>
  <c r="D9" i="1"/>
  <c r="H16" i="1" s="1"/>
  <c r="D10" i="1"/>
  <c r="D17" i="2"/>
  <c r="D16" i="2"/>
  <c r="C17" i="2"/>
  <c r="C16" i="2"/>
  <c r="H23" i="1" l="1"/>
  <c r="G32" i="2"/>
  <c r="F32" i="2"/>
  <c r="E32" i="2"/>
  <c r="D32" i="2"/>
  <c r="D24" i="2"/>
  <c r="D25" i="2" s="1"/>
  <c r="C24" i="2"/>
  <c r="J39" i="2" l="1"/>
  <c r="J32" i="2"/>
  <c r="J24" i="2"/>
  <c r="C25" i="2"/>
  <c r="J25" i="2" s="1"/>
  <c r="J17" i="2"/>
  <c r="J16" i="2"/>
  <c r="J40" i="2"/>
  <c r="J33" i="2"/>
  <c r="H37" i="1"/>
</calcChain>
</file>

<file path=xl/sharedStrings.xml><?xml version="1.0" encoding="utf-8"?>
<sst xmlns="http://schemas.openxmlformats.org/spreadsheetml/2006/main" count="377" uniqueCount="117">
  <si>
    <t xml:space="preserve">            Suivi journalier Compteur SONEDE </t>
  </si>
  <si>
    <t>EAU</t>
  </si>
  <si>
    <t>Somme</t>
  </si>
  <si>
    <t>Heure</t>
  </si>
  <si>
    <t>Compteur</t>
  </si>
  <si>
    <t>C/Jours</t>
  </si>
  <si>
    <t>Resp</t>
  </si>
  <si>
    <t>Remarques</t>
  </si>
  <si>
    <t>6H15</t>
  </si>
  <si>
    <t>Observations :</t>
  </si>
  <si>
    <t>Janvier_2026</t>
  </si>
  <si>
    <t>KWH</t>
  </si>
  <si>
    <t>Lundi</t>
  </si>
  <si>
    <t>Mardi</t>
  </si>
  <si>
    <t>Mercredi</t>
  </si>
  <si>
    <t>Jeudi</t>
  </si>
  <si>
    <t>Vendredi</t>
  </si>
  <si>
    <t>Samedi</t>
  </si>
  <si>
    <t>Dimanche</t>
  </si>
  <si>
    <t>PH-1</t>
  </si>
  <si>
    <r>
      <rPr>
        <b/>
        <sz val="15"/>
        <color rgb="FFFF0000"/>
        <rFont val="Aptos Narrow"/>
        <family val="2"/>
        <scheme val="minor"/>
      </rPr>
      <t>21</t>
    </r>
    <r>
      <rPr>
        <sz val="15"/>
        <color theme="1"/>
        <rFont val="Aptos Narrow"/>
        <family val="2"/>
        <scheme val="minor"/>
      </rPr>
      <t xml:space="preserve"> ,80-Phase 1</t>
    </r>
  </si>
  <si>
    <t>PH-2</t>
  </si>
  <si>
    <r>
      <rPr>
        <b/>
        <sz val="15"/>
        <color rgb="FFFF0000"/>
        <rFont val="Aptos Narrow"/>
        <family val="2"/>
        <scheme val="minor"/>
      </rPr>
      <t>41</t>
    </r>
    <r>
      <rPr>
        <sz val="15"/>
        <color theme="1"/>
        <rFont val="Aptos Narrow"/>
        <family val="2"/>
        <scheme val="minor"/>
      </rPr>
      <t xml:space="preserve"> ,80-Phase 2</t>
    </r>
  </si>
  <si>
    <t>PH-3</t>
  </si>
  <si>
    <r>
      <rPr>
        <b/>
        <sz val="15"/>
        <color rgb="FFFF0000"/>
        <rFont val="Aptos Narrow"/>
        <family val="2"/>
        <scheme val="minor"/>
      </rPr>
      <t>61</t>
    </r>
    <r>
      <rPr>
        <sz val="15"/>
        <color theme="1"/>
        <rFont val="Aptos Narrow"/>
        <family val="2"/>
        <scheme val="minor"/>
      </rPr>
      <t xml:space="preserve"> ,80-Phase 3</t>
    </r>
  </si>
  <si>
    <t>3 Phase/Jours KWH</t>
  </si>
  <si>
    <t>Prix-DT</t>
  </si>
  <si>
    <t>DT</t>
  </si>
  <si>
    <t>lundi</t>
  </si>
  <si>
    <t>mardi</t>
  </si>
  <si>
    <t>mercredi</t>
  </si>
  <si>
    <t>jeudi</t>
  </si>
  <si>
    <t>vendredi</t>
  </si>
  <si>
    <t>samedi</t>
  </si>
  <si>
    <t>dimanche</t>
  </si>
  <si>
    <r>
      <t xml:space="preserve">                      </t>
    </r>
    <r>
      <rPr>
        <b/>
        <sz val="30"/>
        <color rgb="FFC00000"/>
        <rFont val="Aptos Narrow"/>
        <family val="2"/>
        <scheme val="minor"/>
      </rPr>
      <t xml:space="preserve">Suivi journalier Consomation Electricite -KWH / Jours :  </t>
    </r>
    <r>
      <rPr>
        <b/>
        <sz val="26"/>
        <color rgb="FFC00000"/>
        <rFont val="Aptos Narrow"/>
        <family val="2"/>
        <scheme val="minor"/>
      </rPr>
      <t xml:space="preserve">
</t>
    </r>
    <r>
      <rPr>
        <b/>
        <sz val="26"/>
        <color rgb="FF00B050"/>
        <rFont val="Aptos Narrow"/>
        <family val="2"/>
        <scheme val="minor"/>
      </rPr>
      <t xml:space="preserve">                 </t>
    </r>
    <r>
      <rPr>
        <b/>
        <sz val="35"/>
        <color rgb="FF00B050"/>
        <rFont val="Aptos Narrow"/>
        <family val="2"/>
        <scheme val="minor"/>
      </rPr>
      <t xml:space="preserve">                                                                                                                                        Mois = Janvier_2026</t>
    </r>
  </si>
  <si>
    <t>Semaine -01</t>
  </si>
  <si>
    <t>Semaine -02</t>
  </si>
  <si>
    <t>Semaine -03</t>
  </si>
  <si>
    <t>Semaine -04</t>
  </si>
  <si>
    <t>Semaine -05</t>
  </si>
  <si>
    <t>mouldi</t>
  </si>
  <si>
    <t>RAS</t>
  </si>
  <si>
    <t>abdelkader</t>
  </si>
  <si>
    <t>ahmed</t>
  </si>
  <si>
    <t>fuite sache ancien vestiaire femme</t>
  </si>
  <si>
    <t>Consommation d'eau</t>
  </si>
  <si>
    <t>Consommation Electricité</t>
  </si>
  <si>
    <t>SEM</t>
  </si>
  <si>
    <r>
      <t>En m</t>
    </r>
    <r>
      <rPr>
        <b/>
        <vertAlign val="superscript"/>
        <sz val="15"/>
        <color theme="1"/>
        <rFont val="Aptos Narrow"/>
        <family val="2"/>
        <scheme val="minor"/>
      </rPr>
      <t>3</t>
    </r>
  </si>
  <si>
    <t>Prix Uni</t>
  </si>
  <si>
    <t>En DT</t>
  </si>
  <si>
    <t>en KWH</t>
  </si>
  <si>
    <t>Sem_14</t>
  </si>
  <si>
    <t>Sem_15</t>
  </si>
  <si>
    <t>Sem_16</t>
  </si>
  <si>
    <t>Sem_17</t>
  </si>
  <si>
    <t>Sem_18</t>
  </si>
  <si>
    <t>Sem_19</t>
  </si>
  <si>
    <t>Sem_20</t>
  </si>
  <si>
    <t>Sem_21</t>
  </si>
  <si>
    <t>Sem_22</t>
  </si>
  <si>
    <t>Sem_23</t>
  </si>
  <si>
    <t>Sem_24</t>
  </si>
  <si>
    <t>Sem_25</t>
  </si>
  <si>
    <t>Sem_26</t>
  </si>
  <si>
    <t>Sem_27</t>
  </si>
  <si>
    <t>Sem_28</t>
  </si>
  <si>
    <t>Sem_29</t>
  </si>
  <si>
    <t>Sem_30</t>
  </si>
  <si>
    <t>Sem_31</t>
  </si>
  <si>
    <t>Sem_32</t>
  </si>
  <si>
    <t>Sem_33</t>
  </si>
  <si>
    <t>Sem_34</t>
  </si>
  <si>
    <t>Sem_35</t>
  </si>
  <si>
    <t>Sem_36</t>
  </si>
  <si>
    <t>Sem_37</t>
  </si>
  <si>
    <t>Sem_38</t>
  </si>
  <si>
    <t>Sem_39</t>
  </si>
  <si>
    <t>Sem_40</t>
  </si>
  <si>
    <t>Sem_41</t>
  </si>
  <si>
    <t>Sem_42</t>
  </si>
  <si>
    <t>Sem_43</t>
  </si>
  <si>
    <t>Sem_44</t>
  </si>
  <si>
    <t>Sem_45</t>
  </si>
  <si>
    <t>Sem_46</t>
  </si>
  <si>
    <t>Sem_47</t>
  </si>
  <si>
    <t>Sem_48</t>
  </si>
  <si>
    <t>Sem_49</t>
  </si>
  <si>
    <t>Sem_50</t>
  </si>
  <si>
    <t>Sem_51</t>
  </si>
  <si>
    <t>Sem_ 45</t>
  </si>
  <si>
    <t>Sem_ 46</t>
  </si>
  <si>
    <t>Sem_ 47</t>
  </si>
  <si>
    <t>Sem_ 48</t>
  </si>
  <si>
    <t>Sem_ 49</t>
  </si>
  <si>
    <t>Sem_ 50</t>
  </si>
  <si>
    <t>Sem_ 51</t>
  </si>
  <si>
    <r>
      <t>Suivi Hebdomadaire  Consommation 
d'eau  et Electricité // ELEONETECH-</t>
    </r>
    <r>
      <rPr>
        <b/>
        <sz val="20"/>
        <color rgb="FFFF0000"/>
        <rFont val="Aptos Narrow"/>
        <family val="2"/>
        <scheme val="minor"/>
      </rPr>
      <t>2025/2026</t>
    </r>
  </si>
  <si>
    <t>Sem_01</t>
  </si>
  <si>
    <t>Sem_02</t>
  </si>
  <si>
    <t>Sem_03</t>
  </si>
  <si>
    <t>Sem_04</t>
  </si>
  <si>
    <t>Sem_05</t>
  </si>
  <si>
    <t>Sem_06</t>
  </si>
  <si>
    <t>Sem_07</t>
  </si>
  <si>
    <t>Sem_08</t>
  </si>
  <si>
    <t>Sem_09</t>
  </si>
  <si>
    <t>Sem_10</t>
  </si>
  <si>
    <t>Sem_11</t>
  </si>
  <si>
    <t>Sem_12</t>
  </si>
  <si>
    <t>Sem_13</t>
  </si>
  <si>
    <t>Sem_52</t>
  </si>
  <si>
    <t>Moyenne</t>
  </si>
  <si>
    <t>Sem_ 52/01</t>
  </si>
  <si>
    <r>
      <t xml:space="preserve">                      </t>
    </r>
    <r>
      <rPr>
        <b/>
        <sz val="30"/>
        <color rgb="FFC00000"/>
        <rFont val="Aptos Narrow"/>
        <family val="2"/>
        <scheme val="minor"/>
      </rPr>
      <t xml:space="preserve">Suivi journalier Consomation Electricite -KWH / Jours :  </t>
    </r>
    <r>
      <rPr>
        <b/>
        <sz val="26"/>
        <color rgb="FFC00000"/>
        <rFont val="Aptos Narrow"/>
        <family val="2"/>
        <scheme val="minor"/>
      </rPr>
      <t xml:space="preserve">
</t>
    </r>
    <r>
      <rPr>
        <b/>
        <sz val="26"/>
        <color rgb="FF00B050"/>
        <rFont val="Aptos Narrow"/>
        <family val="2"/>
        <scheme val="minor"/>
      </rPr>
      <t xml:space="preserve">                 </t>
    </r>
    <r>
      <rPr>
        <b/>
        <sz val="35"/>
        <color rgb="FF00B050"/>
        <rFont val="Aptos Narrow"/>
        <family val="2"/>
        <scheme val="minor"/>
      </rPr>
      <t xml:space="preserve">                                                                                                                                        Mois =  Février_2026</t>
    </r>
  </si>
  <si>
    <t xml:space="preserve"> Février_2026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</si>
</sst>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F800]dddd\,\ mmmm\ dd\,\ yyyy"/>
    <numFmt numFmtId="165" formatCode="#,##0.000"/>
    <numFmt numFmtId="166" formatCode="[$]dd/mm/yyyy;@" x16r2:formatCode16="[$-fr-TN,1]dd/mm/yyyy;@"/>
    <numFmt numFmtId="167" formatCode="0.000"/>
    <numFmt numFmtId="168" formatCode="#,##0.0"/>
  </numFmts>
  <fonts count="42" x14ac:knownFonts="1">
    <font>
      <sz val="11"/>
      <color theme="1"/>
      <name val="Aptos Narrow"/>
      <family val="2"/>
      <scheme val="minor"/>
    </font>
    <font>
      <b/>
      <sz val="72"/>
      <color rgb="FF002060"/>
      <name val="Aptos Narrow"/>
      <family val="2"/>
      <scheme val="minor"/>
    </font>
    <font>
      <b/>
      <sz val="55"/>
      <color rgb="FF002060"/>
      <name val="Aptos Narrow"/>
      <family val="2"/>
      <scheme val="minor"/>
    </font>
    <font>
      <b/>
      <i/>
      <sz val="72"/>
      <color rgb="FFC00000"/>
      <name val="Aptos Narrow"/>
      <family val="2"/>
      <scheme val="minor"/>
    </font>
    <font>
      <b/>
      <i/>
      <sz val="80"/>
      <color rgb="FFC00000"/>
      <name val="Aptos Narrow"/>
      <family val="2"/>
      <scheme val="minor"/>
    </font>
    <font>
      <b/>
      <sz val="55"/>
      <color rgb="FFC0000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rgb="FFC0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36"/>
      <color rgb="FF0070C0"/>
      <name val="Aptos Narrow"/>
      <family val="2"/>
      <scheme val="minor"/>
    </font>
    <font>
      <b/>
      <sz val="36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4"/>
      <color rgb="FFFF0000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rgb="FFC00000"/>
      <name val="Aptos Narrow"/>
      <family val="2"/>
      <scheme val="minor"/>
    </font>
    <font>
      <b/>
      <sz val="30"/>
      <color rgb="FFC00000"/>
      <name val="Aptos Narrow"/>
      <family val="2"/>
      <scheme val="minor"/>
    </font>
    <font>
      <b/>
      <sz val="26"/>
      <color rgb="FF00B050"/>
      <name val="Aptos Narrow"/>
      <family val="2"/>
      <scheme val="minor"/>
    </font>
    <font>
      <b/>
      <sz val="35"/>
      <color rgb="FF00B05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5"/>
      <color rgb="FFFF0000"/>
      <name val="Aptos Narrow"/>
      <family val="2"/>
      <scheme val="minor"/>
    </font>
    <font>
      <b/>
      <sz val="32"/>
      <color rgb="FF00B050"/>
      <name val="Aptos Narrow"/>
      <family val="2"/>
      <scheme val="minor"/>
    </font>
    <font>
      <b/>
      <sz val="2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28"/>
      <color rgb="FF00B050"/>
      <name val="Aptos Narrow"/>
      <family val="2"/>
      <scheme val="minor"/>
    </font>
    <font>
      <sz val="25"/>
      <color rgb="FF00B05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vertAlign val="superscript"/>
      <sz val="15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49" fontId="5" fillId="2" borderId="9" xfId="0" applyNumberFormat="1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64" fontId="7" fillId="4" borderId="8" xfId="0" applyNumberFormat="1" applyFont="1" applyFill="1" applyBorder="1" applyAlignment="1">
      <alignment horizontal="left" vertical="center"/>
    </xf>
    <xf numFmtId="3" fontId="8" fillId="5" borderId="9" xfId="0" applyNumberFormat="1" applyFont="1" applyFill="1" applyBorder="1" applyAlignment="1">
      <alignment horizontal="center" vertical="center"/>
    </xf>
    <xf numFmtId="165" fontId="8" fillId="5" borderId="9" xfId="0" applyNumberFormat="1" applyFont="1" applyFill="1" applyBorder="1" applyAlignment="1">
      <alignment horizontal="center" vertical="center"/>
    </xf>
    <xf numFmtId="4" fontId="8" fillId="5" borderId="9" xfId="0" applyNumberFormat="1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164" fontId="7" fillId="6" borderId="8" xfId="0" applyNumberFormat="1" applyFont="1" applyFill="1" applyBorder="1" applyAlignment="1">
      <alignment horizontal="left" vertical="center"/>
    </xf>
    <xf numFmtId="3" fontId="10" fillId="6" borderId="9" xfId="0" applyNumberFormat="1" applyFont="1" applyFill="1" applyBorder="1" applyAlignment="1">
      <alignment horizontal="center" vertical="center"/>
    </xf>
    <xf numFmtId="165" fontId="11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3" fontId="10" fillId="7" borderId="9" xfId="0" applyNumberFormat="1" applyFont="1" applyFill="1" applyBorder="1" applyAlignment="1">
      <alignment horizontal="center" vertical="center"/>
    </xf>
    <xf numFmtId="11" fontId="0" fillId="0" borderId="0" xfId="0" applyNumberFormat="1"/>
    <xf numFmtId="3" fontId="10" fillId="8" borderId="9" xfId="0" applyNumberFormat="1" applyFont="1" applyFill="1" applyBorder="1" applyAlignment="1">
      <alignment horizontal="center" vertical="center"/>
    </xf>
    <xf numFmtId="165" fontId="11" fillId="8" borderId="9" xfId="0" applyNumberFormat="1" applyFont="1" applyFill="1" applyBorder="1" applyAlignment="1">
      <alignment horizontal="center" vertical="center"/>
    </xf>
    <xf numFmtId="165" fontId="12" fillId="8" borderId="9" xfId="0" applyNumberFormat="1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0" fillId="6" borderId="10" xfId="0" applyFill="1" applyBorder="1"/>
    <xf numFmtId="0" fontId="0" fillId="6" borderId="0" xfId="0" applyFill="1"/>
    <xf numFmtId="0" fontId="14" fillId="0" borderId="10" xfId="0" applyFont="1" applyBorder="1" applyAlignment="1">
      <alignment horizontal="center" vertical="center"/>
    </xf>
    <xf numFmtId="165" fontId="12" fillId="6" borderId="11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165" fontId="11" fillId="6" borderId="12" xfId="0" applyNumberFormat="1" applyFont="1" applyFill="1" applyBorder="1" applyAlignment="1">
      <alignment horizontal="center" vertical="center"/>
    </xf>
    <xf numFmtId="164" fontId="15" fillId="9" borderId="8" xfId="0" applyNumberFormat="1" applyFont="1" applyFill="1" applyBorder="1" applyAlignment="1">
      <alignment horizontal="center" vertical="center"/>
    </xf>
    <xf numFmtId="164" fontId="16" fillId="8" borderId="13" xfId="0" applyNumberFormat="1" applyFont="1" applyFill="1" applyBorder="1" applyAlignment="1">
      <alignment horizontal="center" vertical="center"/>
    </xf>
    <xf numFmtId="4" fontId="16" fillId="8" borderId="11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65" fontId="13" fillId="10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7" fillId="0" borderId="0" xfId="0" applyNumberFormat="1" applyFont="1"/>
    <xf numFmtId="0" fontId="24" fillId="0" borderId="0" xfId="0" applyFont="1"/>
    <xf numFmtId="0" fontId="0" fillId="0" borderId="17" xfId="0" applyBorder="1"/>
    <xf numFmtId="0" fontId="25" fillId="0" borderId="0" xfId="0" applyFont="1"/>
    <xf numFmtId="0" fontId="0" fillId="0" borderId="18" xfId="0" applyBorder="1"/>
    <xf numFmtId="166" fontId="26" fillId="2" borderId="9" xfId="0" applyNumberFormat="1" applyFont="1" applyFill="1" applyBorder="1" applyAlignment="1">
      <alignment horizontal="center" vertical="center"/>
    </xf>
    <xf numFmtId="164" fontId="27" fillId="0" borderId="9" xfId="0" applyNumberFormat="1" applyFont="1" applyBorder="1" applyAlignment="1">
      <alignment horizontal="center" vertical="center"/>
    </xf>
    <xf numFmtId="164" fontId="27" fillId="6" borderId="9" xfId="0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vertical="center"/>
    </xf>
    <xf numFmtId="3" fontId="29" fillId="0" borderId="9" xfId="0" applyNumberFormat="1" applyFont="1" applyBorder="1" applyAlignment="1">
      <alignment horizontal="center" vertical="center"/>
    </xf>
    <xf numFmtId="3" fontId="29" fillId="6" borderId="9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9" fillId="0" borderId="9" xfId="0" applyFont="1" applyBorder="1" applyAlignment="1">
      <alignment horizontal="center" vertical="center"/>
    </xf>
    <xf numFmtId="3" fontId="30" fillId="8" borderId="9" xfId="0" applyNumberFormat="1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2" fillId="11" borderId="8" xfId="0" applyFont="1" applyFill="1" applyBorder="1" applyAlignment="1">
      <alignment horizontal="center"/>
    </xf>
    <xf numFmtId="165" fontId="31" fillId="11" borderId="9" xfId="0" applyNumberFormat="1" applyFont="1" applyFill="1" applyBorder="1" applyAlignment="1">
      <alignment horizontal="center" vertical="center"/>
    </xf>
    <xf numFmtId="168" fontId="30" fillId="11" borderId="9" xfId="0" applyNumberFormat="1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0" xfId="0" applyFill="1"/>
    <xf numFmtId="0" fontId="24" fillId="2" borderId="0" xfId="0" applyFont="1" applyFill="1"/>
    <xf numFmtId="166" fontId="33" fillId="2" borderId="9" xfId="0" applyNumberFormat="1" applyFont="1" applyFill="1" applyBorder="1" applyAlignment="1">
      <alignment horizontal="center" vertical="center"/>
    </xf>
    <xf numFmtId="3" fontId="34" fillId="6" borderId="9" xfId="0" applyNumberFormat="1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4" fillId="0" borderId="9" xfId="0" applyFont="1" applyBorder="1"/>
    <xf numFmtId="0" fontId="0" fillId="0" borderId="19" xfId="0" applyBorder="1"/>
    <xf numFmtId="0" fontId="0" fillId="0" borderId="20" xfId="0" applyBorder="1"/>
    <xf numFmtId="0" fontId="24" fillId="0" borderId="20" xfId="0" applyFont="1" applyBorder="1"/>
    <xf numFmtId="0" fontId="0" fillId="0" borderId="9" xfId="0" applyBorder="1"/>
    <xf numFmtId="0" fontId="0" fillId="0" borderId="21" xfId="0" applyBorder="1"/>
    <xf numFmtId="3" fontId="35" fillId="0" borderId="9" xfId="0" applyNumberFormat="1" applyFont="1" applyBorder="1" applyAlignment="1">
      <alignment horizontal="center" vertical="center"/>
    </xf>
    <xf numFmtId="3" fontId="29" fillId="12" borderId="9" xfId="0" applyNumberFormat="1" applyFont="1" applyFill="1" applyBorder="1" applyAlignment="1">
      <alignment horizontal="center" vertical="center"/>
    </xf>
    <xf numFmtId="3" fontId="30" fillId="12" borderId="9" xfId="0" applyNumberFormat="1" applyFont="1" applyFill="1" applyBorder="1" applyAlignment="1">
      <alignment horizontal="center" vertical="center"/>
    </xf>
    <xf numFmtId="168" fontId="30" fillId="12" borderId="9" xfId="0" applyNumberFormat="1" applyFont="1" applyFill="1" applyBorder="1" applyAlignment="1">
      <alignment horizontal="center" vertical="center"/>
    </xf>
    <xf numFmtId="164" fontId="36" fillId="0" borderId="9" xfId="0" applyNumberFormat="1" applyFont="1" applyBorder="1" applyAlignment="1">
      <alignment horizontal="center" vertical="center"/>
    </xf>
    <xf numFmtId="165" fontId="11" fillId="6" borderId="9" xfId="0" applyNumberFormat="1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165" fontId="25" fillId="8" borderId="9" xfId="0" applyNumberFormat="1" applyFont="1" applyFill="1" applyBorder="1" applyAlignment="1">
      <alignment horizontal="center" vertical="center"/>
    </xf>
    <xf numFmtId="0" fontId="40" fillId="8" borderId="9" xfId="0" applyFont="1" applyFill="1" applyBorder="1" applyAlignment="1">
      <alignment horizontal="center" vertical="center"/>
    </xf>
    <xf numFmtId="3" fontId="25" fillId="8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1" fillId="0" borderId="0" xfId="0" applyFont="1"/>
    <xf numFmtId="0" fontId="25" fillId="14" borderId="9" xfId="0" applyFont="1" applyFill="1" applyBorder="1" applyAlignment="1">
      <alignment horizontal="center" vertical="center"/>
    </xf>
    <xf numFmtId="165" fontId="25" fillId="14" borderId="9" xfId="0" applyNumberFormat="1" applyFont="1" applyFill="1" applyBorder="1" applyAlignment="1">
      <alignment horizontal="center" vertical="center"/>
    </xf>
    <xf numFmtId="0" fontId="40" fillId="14" borderId="9" xfId="0" applyFont="1" applyFill="1" applyBorder="1" applyAlignment="1">
      <alignment horizontal="center" vertical="center"/>
    </xf>
    <xf numFmtId="0" fontId="39" fillId="14" borderId="9" xfId="0" applyFont="1" applyFill="1" applyBorder="1" applyAlignment="1">
      <alignment horizontal="center" vertical="center"/>
    </xf>
    <xf numFmtId="3" fontId="25" fillId="14" borderId="9" xfId="0" applyNumberFormat="1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65" fontId="25" fillId="5" borderId="9" xfId="0" applyNumberFormat="1" applyFont="1" applyFill="1" applyBorder="1" applyAlignment="1">
      <alignment horizontal="center" vertical="center"/>
    </xf>
    <xf numFmtId="0" fontId="40" fillId="5" borderId="9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3" fontId="25" fillId="5" borderId="9" xfId="0" applyNumberFormat="1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165" fontId="17" fillId="5" borderId="9" xfId="0" applyNumberFormat="1" applyFont="1" applyFill="1" applyBorder="1" applyAlignment="1">
      <alignment horizontal="center" vertical="center"/>
    </xf>
    <xf numFmtId="3" fontId="10" fillId="7" borderId="31" xfId="0" applyNumberFormat="1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 wrapText="1"/>
    </xf>
    <xf numFmtId="167" fontId="13" fillId="8" borderId="31" xfId="0" applyNumberFormat="1" applyFont="1" applyFill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right"/>
    </xf>
    <xf numFmtId="49" fontId="4" fillId="0" borderId="9" xfId="0" applyNumberFormat="1" applyFont="1" applyBorder="1" applyAlignment="1">
      <alignment horizontal="right"/>
    </xf>
    <xf numFmtId="0" fontId="17" fillId="0" borderId="14" xfId="0" applyFont="1" applyBorder="1" applyAlignment="1">
      <alignment horizontal="left" vertical="top"/>
    </xf>
    <xf numFmtId="0" fontId="17" fillId="0" borderId="15" xfId="0" applyFont="1" applyBorder="1" applyAlignment="1">
      <alignment horizontal="left" vertical="top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9" xfId="0" applyFont="1" applyBorder="1" applyAlignment="1">
      <alignment horizontal="left" vertical="top"/>
    </xf>
    <xf numFmtId="0" fontId="17" fillId="0" borderId="20" xfId="0" applyFont="1" applyBorder="1" applyAlignment="1">
      <alignment horizontal="left" vertical="top"/>
    </xf>
    <xf numFmtId="0" fontId="17" fillId="0" borderId="21" xfId="0" applyFont="1" applyBorder="1" applyAlignment="1">
      <alignment horizontal="left" vertical="top"/>
    </xf>
    <xf numFmtId="0" fontId="9" fillId="0" borderId="3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25" fillId="11" borderId="9" xfId="0" applyFont="1" applyFill="1" applyBorder="1" applyAlignment="1">
      <alignment horizontal="center" vertical="center"/>
    </xf>
    <xf numFmtId="0" fontId="25" fillId="1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DCC3B1-E738-4AAF-A528-72846C80F7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1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 i="1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SUIVI CONS EAU M</a:t>
            </a:r>
            <a:r>
              <a:rPr lang="fr-FR" sz="2000" b="1" i="1" u="none" strike="noStrike" kern="1200" spc="0" baseline="30000">
                <a:solidFill>
                  <a:schemeClr val="tx2">
                    <a:lumMod val="50000"/>
                    <a:lumOff val="50000"/>
                  </a:schemeClr>
                </a:solidFill>
              </a:rPr>
              <a:t>3</a:t>
            </a:r>
            <a:r>
              <a:rPr lang="fr-FR" sz="2000" b="1" i="1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 et DT / SEMAINE</a:t>
            </a:r>
          </a:p>
        </c:rich>
      </c:tx>
      <c:layout>
        <c:manualLayout>
          <c:xMode val="edge"/>
          <c:yMode val="edge"/>
          <c:x val="0.22514191056447333"/>
          <c:y val="1.3957307782594819E-2"/>
        </c:manualLayout>
      </c:layout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1" u="none" strike="noStrike" kern="1200" spc="0" baseline="0">
              <a:solidFill>
                <a:schemeClr val="tx2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>
        <c:manualLayout>
          <c:layoutTarget val="inner"/>
          <c:xMode val="edge"/>
          <c:yMode val="edge"/>
          <c:x val="3.8806145667961797E-2"/>
          <c:y val="0.13514872115892693"/>
          <c:w val="0.93476042624423139"/>
          <c:h val="0.66242459756795558"/>
        </c:manualLayout>
      </c:layout>
      <c:lineChart>
        <c:grouping val="standard"/>
        <c:varyColors val="0"/>
        <c:ser>
          <c:idx val="0"/>
          <c:order val="0"/>
          <c:tx>
            <c:strRef>
              <c:f>RECAP!$B$5</c:f>
              <c:strCache>
                <c:ptCount val="1"/>
                <c:pt idx="0">
                  <c:v>En 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1.95402308956327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EDE-4027-B59F-E1A343244E2F}"/>
                </c:ext>
              </c:extLst>
            </c:dLbl>
            <c:dLbl>
              <c:idx val="1"/>
              <c:layout>
                <c:manualLayout>
                  <c:x val="0"/>
                  <c:y val="-6.1412154243417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EDE-4027-B59F-E1A343244E2F}"/>
                </c:ext>
              </c:extLst>
            </c:dLbl>
            <c:dLbl>
              <c:idx val="2"/>
              <c:layout>
                <c:manualLayout>
                  <c:x val="4.9562677664637851E-3"/>
                  <c:y val="-3.07060771217087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EDE-4027-B59F-E1A343244E2F}"/>
                </c:ext>
              </c:extLst>
            </c:dLbl>
            <c:dLbl>
              <c:idx val="3"/>
              <c:layout>
                <c:manualLayout>
                  <c:x val="1.982507106585514E-2"/>
                  <c:y val="-2.79146155651896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DE-4027-B59F-E1A343244E2F}"/>
                </c:ext>
              </c:extLst>
            </c:dLbl>
            <c:dLbl>
              <c:idx val="4"/>
              <c:layout>
                <c:manualLayout>
                  <c:x val="2.4781338832318894E-2"/>
                  <c:y val="-1.95402308956327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EDE-4027-B59F-E1A343244E2F}"/>
                </c:ext>
              </c:extLst>
            </c:dLbl>
            <c:dLbl>
              <c:idx val="5"/>
              <c:layout>
                <c:manualLayout>
                  <c:x val="-5.4518945431101667E-2"/>
                  <c:y val="2.5123154008670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DE-4027-B59F-E1A343244E2F}"/>
                </c:ext>
              </c:extLst>
            </c:dLbl>
            <c:dLbl>
              <c:idx val="6"/>
              <c:layout>
                <c:manualLayout>
                  <c:x val="-1.3216714043903427E-2"/>
                  <c:y val="3.3497538678227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EDE-4027-B59F-E1A343244E2F}"/>
                </c:ext>
              </c:extLst>
            </c:dLbl>
            <c:dLbl>
              <c:idx val="7"/>
              <c:layout>
                <c:manualLayout>
                  <c:x val="-1.982507106585514E-2"/>
                  <c:y val="-2.5123154008670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EDE-4027-B59F-E1A343244E2F}"/>
                </c:ext>
              </c:extLst>
            </c:dLbl>
            <c:dLbl>
              <c:idx val="8"/>
              <c:layout>
                <c:manualLayout>
                  <c:x val="-5.617103468658962E-2"/>
                  <c:y val="-1.1165846226075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EDE-4027-B59F-E1A343244E2F}"/>
                </c:ext>
              </c:extLst>
            </c:dLbl>
            <c:dLbl>
              <c:idx val="10"/>
              <c:layout>
                <c:manualLayout>
                  <c:x val="-3.4693874365246555E-2"/>
                  <c:y val="-4.4663384904303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DE-4027-B59F-E1A343244E2F}"/>
                </c:ext>
              </c:extLst>
            </c:dLbl>
            <c:dLbl>
              <c:idx val="11"/>
              <c:layout>
                <c:manualLayout>
                  <c:x val="-2.1477160321343069E-2"/>
                  <c:y val="-4.74548464608223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86-4F33-B006-862C7E864D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RECAP!$A$6:$A$28</c:f>
              <c:strCache>
                <c:ptCount val="23"/>
                <c:pt idx="0">
                  <c:v>Sem_ 45</c:v>
                </c:pt>
                <c:pt idx="1">
                  <c:v>Sem_ 46</c:v>
                </c:pt>
                <c:pt idx="2">
                  <c:v>Sem_ 47</c:v>
                </c:pt>
                <c:pt idx="3">
                  <c:v>Sem_ 48</c:v>
                </c:pt>
                <c:pt idx="4">
                  <c:v>Sem_ 49</c:v>
                </c:pt>
                <c:pt idx="5">
                  <c:v>Sem_ 50</c:v>
                </c:pt>
                <c:pt idx="6">
                  <c:v>Sem_ 51</c:v>
                </c:pt>
                <c:pt idx="7">
                  <c:v>Sem_ 52/01</c:v>
                </c:pt>
                <c:pt idx="8">
                  <c:v>Sem_02</c:v>
                </c:pt>
                <c:pt idx="9">
                  <c:v>Sem_03</c:v>
                </c:pt>
                <c:pt idx="10">
                  <c:v>Sem_04</c:v>
                </c:pt>
                <c:pt idx="11">
                  <c:v>Sem_05</c:v>
                </c:pt>
                <c:pt idx="12">
                  <c:v>Sem_06</c:v>
                </c:pt>
                <c:pt idx="13">
                  <c:v>Sem_07</c:v>
                </c:pt>
                <c:pt idx="14">
                  <c:v>Sem_08</c:v>
                </c:pt>
                <c:pt idx="15">
                  <c:v>Sem_09</c:v>
                </c:pt>
                <c:pt idx="16">
                  <c:v>Sem_10</c:v>
                </c:pt>
                <c:pt idx="17">
                  <c:v>Sem_11</c:v>
                </c:pt>
                <c:pt idx="18">
                  <c:v>Sem_12</c:v>
                </c:pt>
                <c:pt idx="19">
                  <c:v>Sem_13</c:v>
                </c:pt>
                <c:pt idx="20">
                  <c:v>Sem_14</c:v>
                </c:pt>
                <c:pt idx="21">
                  <c:v>Sem_15</c:v>
                </c:pt>
                <c:pt idx="22">
                  <c:v>Sem_16</c:v>
                </c:pt>
              </c:strCache>
            </c:strRef>
          </c:cat>
          <c:val>
            <c:numRef>
              <c:f>RECAP!$B$6:$B$28</c:f>
              <c:numCache>
                <c:formatCode>General</c:formatCode>
                <c:ptCount val="23"/>
                <c:pt idx="0">
                  <c:v>47</c:v>
                </c:pt>
                <c:pt idx="1">
                  <c:v>52</c:v>
                </c:pt>
                <c:pt idx="2">
                  <c:v>49</c:v>
                </c:pt>
                <c:pt idx="3">
                  <c:v>49</c:v>
                </c:pt>
                <c:pt idx="4">
                  <c:v>47</c:v>
                </c:pt>
                <c:pt idx="5">
                  <c:v>42</c:v>
                </c:pt>
                <c:pt idx="6">
                  <c:v>45</c:v>
                </c:pt>
                <c:pt idx="7">
                  <c:v>48</c:v>
                </c:pt>
                <c:pt idx="8">
                  <c:v>4</c:v>
                </c:pt>
                <c:pt idx="9">
                  <c:v>30</c:v>
                </c:pt>
                <c:pt idx="10">
                  <c:v>49</c:v>
                </c:pt>
                <c:pt idx="11">
                  <c:v>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E-4027-B59F-E1A343244E2F}"/>
            </c:ext>
          </c:extLst>
        </c:ser>
        <c:ser>
          <c:idx val="1"/>
          <c:order val="1"/>
          <c:tx>
            <c:strRef>
              <c:f>RECAP!$D$5</c:f>
              <c:strCache>
                <c:ptCount val="1"/>
                <c:pt idx="0">
                  <c:v>En 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3129249576830997E-2"/>
                  <c:y val="-3.349753867822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DE-4027-B59F-E1A343244E2F}"/>
                </c:ext>
              </c:extLst>
            </c:dLbl>
            <c:dLbl>
              <c:idx val="2"/>
              <c:layout>
                <c:manualLayout>
                  <c:x val="1.1564624788415499E-2"/>
                  <c:y val="-5.02463080173413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DE-4027-B59F-E1A343244E2F}"/>
                </c:ext>
              </c:extLst>
            </c:dLbl>
            <c:dLbl>
              <c:idx val="3"/>
              <c:layout>
                <c:manualLayout>
                  <c:x val="6.6083570219516831E-3"/>
                  <c:y val="-2.79146155651896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DE-4027-B59F-E1A343244E2F}"/>
                </c:ext>
              </c:extLst>
            </c:dLbl>
            <c:dLbl>
              <c:idx val="4"/>
              <c:layout>
                <c:manualLayout>
                  <c:x val="-5.782312394207749E-2"/>
                  <c:y val="4.1871923347784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DE-4027-B59F-E1A343244E2F}"/>
                </c:ext>
              </c:extLst>
            </c:dLbl>
            <c:dLbl>
              <c:idx val="5"/>
              <c:layout>
                <c:manualLayout>
                  <c:x val="-4.130223138719824E-2"/>
                  <c:y val="5.58292311303791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DE-4027-B59F-E1A343244E2F}"/>
                </c:ext>
              </c:extLst>
            </c:dLbl>
            <c:dLbl>
              <c:idx val="6"/>
              <c:layout>
                <c:manualLayout>
                  <c:x val="-5.2866856175613708E-2"/>
                  <c:y val="-2.51231540086707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DE-4027-B59F-E1A343244E2F}"/>
                </c:ext>
              </c:extLst>
            </c:dLbl>
            <c:dLbl>
              <c:idx val="7"/>
              <c:layout>
                <c:manualLayout>
                  <c:x val="-4.0476186759454247E-2"/>
                  <c:y val="-5.16420387956008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T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476183637395804E-2"/>
                      <c:h val="6.37011527197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BEDE-4027-B59F-E1A343244E2F}"/>
                </c:ext>
              </c:extLst>
            </c:dLbl>
            <c:dLbl>
              <c:idx val="8"/>
              <c:layout>
                <c:manualLayout>
                  <c:x val="2.4781338832318985E-2"/>
                  <c:y val="-1.1165846226075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EDE-4027-B59F-E1A343244E2F}"/>
                </c:ext>
              </c:extLst>
            </c:dLbl>
            <c:dLbl>
              <c:idx val="9"/>
              <c:layout>
                <c:manualLayout>
                  <c:x val="-3.9650142131710281E-2"/>
                  <c:y val="-1.6748769339113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DE-4027-B59F-E1A343244E2F}"/>
                </c:ext>
              </c:extLst>
            </c:dLbl>
            <c:dLbl>
              <c:idx val="10"/>
              <c:layout>
                <c:manualLayout>
                  <c:x val="-3.7998052876222412E-2"/>
                  <c:y val="-5.02463080173413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DE-4027-B59F-E1A343244E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RECAP!$A$6:$A$28</c:f>
              <c:strCache>
                <c:ptCount val="23"/>
                <c:pt idx="0">
                  <c:v>Sem_ 45</c:v>
                </c:pt>
                <c:pt idx="1">
                  <c:v>Sem_ 46</c:v>
                </c:pt>
                <c:pt idx="2">
                  <c:v>Sem_ 47</c:v>
                </c:pt>
                <c:pt idx="3">
                  <c:v>Sem_ 48</c:v>
                </c:pt>
                <c:pt idx="4">
                  <c:v>Sem_ 49</c:v>
                </c:pt>
                <c:pt idx="5">
                  <c:v>Sem_ 50</c:v>
                </c:pt>
                <c:pt idx="6">
                  <c:v>Sem_ 51</c:v>
                </c:pt>
                <c:pt idx="7">
                  <c:v>Sem_ 52/01</c:v>
                </c:pt>
                <c:pt idx="8">
                  <c:v>Sem_02</c:v>
                </c:pt>
                <c:pt idx="9">
                  <c:v>Sem_03</c:v>
                </c:pt>
                <c:pt idx="10">
                  <c:v>Sem_04</c:v>
                </c:pt>
                <c:pt idx="11">
                  <c:v>Sem_05</c:v>
                </c:pt>
                <c:pt idx="12">
                  <c:v>Sem_06</c:v>
                </c:pt>
                <c:pt idx="13">
                  <c:v>Sem_07</c:v>
                </c:pt>
                <c:pt idx="14">
                  <c:v>Sem_08</c:v>
                </c:pt>
                <c:pt idx="15">
                  <c:v>Sem_09</c:v>
                </c:pt>
                <c:pt idx="16">
                  <c:v>Sem_10</c:v>
                </c:pt>
                <c:pt idx="17">
                  <c:v>Sem_11</c:v>
                </c:pt>
                <c:pt idx="18">
                  <c:v>Sem_12</c:v>
                </c:pt>
                <c:pt idx="19">
                  <c:v>Sem_13</c:v>
                </c:pt>
                <c:pt idx="20">
                  <c:v>Sem_14</c:v>
                </c:pt>
                <c:pt idx="21">
                  <c:v>Sem_15</c:v>
                </c:pt>
                <c:pt idx="22">
                  <c:v>Sem_16</c:v>
                </c:pt>
              </c:strCache>
            </c:strRef>
          </c:cat>
          <c:val>
            <c:numRef>
              <c:f>RECAP!$D$6:$D$28</c:f>
              <c:numCache>
                <c:formatCode>General</c:formatCode>
                <c:ptCount val="23"/>
                <c:pt idx="0">
                  <c:v>108.1</c:v>
                </c:pt>
                <c:pt idx="1">
                  <c:v>119.6</c:v>
                </c:pt>
                <c:pt idx="2">
                  <c:v>112.69999999999999</c:v>
                </c:pt>
                <c:pt idx="3">
                  <c:v>112.69999999999999</c:v>
                </c:pt>
                <c:pt idx="4">
                  <c:v>108.1</c:v>
                </c:pt>
                <c:pt idx="5">
                  <c:v>96.6</c:v>
                </c:pt>
                <c:pt idx="6">
                  <c:v>103.49999999999999</c:v>
                </c:pt>
                <c:pt idx="7">
                  <c:v>110.39999999999999</c:v>
                </c:pt>
                <c:pt idx="8">
                  <c:v>9.1999999999999993</c:v>
                </c:pt>
                <c:pt idx="9">
                  <c:v>69</c:v>
                </c:pt>
                <c:pt idx="10">
                  <c:v>112.69999999999999</c:v>
                </c:pt>
                <c:pt idx="11">
                  <c:v>96.6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E-4027-B59F-E1A343244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169199"/>
        <c:axId val="1338156239"/>
      </c:lineChart>
      <c:catAx>
        <c:axId val="133816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338156239"/>
        <c:crosses val="autoZero"/>
        <c:auto val="1"/>
        <c:lblAlgn val="ctr"/>
        <c:lblOffset val="100"/>
        <c:noMultiLvlLbl val="0"/>
      </c:catAx>
      <c:valAx>
        <c:axId val="1338156239"/>
        <c:scaling>
          <c:orientation val="minMax"/>
          <c:max val="2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33816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552242704660038"/>
          <c:y val="0.24210873599983124"/>
          <c:w val="0.18361007779649277"/>
          <c:h val="0.16051849090511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accent3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fr-FR" sz="1800" b="1">
                <a:solidFill>
                  <a:srgbClr val="C00000"/>
                </a:solidFill>
              </a:rPr>
              <a:t>Suivi Consommation Electricité en KWH et DT - Sem</a:t>
            </a:r>
          </a:p>
        </c:rich>
      </c:tx>
      <c:layout>
        <c:manualLayout>
          <c:xMode val="edge"/>
          <c:yMode val="edge"/>
          <c:x val="2.0706697462119707E-2"/>
          <c:y val="0"/>
        </c:manualLayout>
      </c:layout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>
        <c:manualLayout>
          <c:layoutTarget val="inner"/>
          <c:xMode val="edge"/>
          <c:yMode val="edge"/>
          <c:x val="5.5118566396523107E-2"/>
          <c:y val="0.10039283237576667"/>
          <c:w val="0.94154268104731453"/>
          <c:h val="0.73837996669387695"/>
        </c:manualLayout>
      </c:layout>
      <c:lineChart>
        <c:grouping val="standard"/>
        <c:varyColors val="0"/>
        <c:ser>
          <c:idx val="0"/>
          <c:order val="0"/>
          <c:tx>
            <c:strRef>
              <c:f>RECAP!$F$5</c:f>
              <c:strCache>
                <c:ptCount val="1"/>
                <c:pt idx="0">
                  <c:v>en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1618739214928088E-3"/>
                  <c:y val="-3.96151693033802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5D-4F43-9F73-D903D0FE3BBB}"/>
                </c:ext>
              </c:extLst>
            </c:dLbl>
            <c:dLbl>
              <c:idx val="1"/>
              <c:layout>
                <c:manualLayout>
                  <c:x val="-3.9503713330755863E-2"/>
                  <c:y val="4.2256180590272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D-4F43-9F73-D903D0FE3BBB}"/>
                </c:ext>
              </c:extLst>
            </c:dLbl>
            <c:dLbl>
              <c:idx val="2"/>
              <c:layout>
                <c:manualLayout>
                  <c:x val="-6.9712435289569384E-3"/>
                  <c:y val="-4.2256180590272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5D-4F43-9F73-D903D0FE3BBB}"/>
                </c:ext>
              </c:extLst>
            </c:dLbl>
            <c:dLbl>
              <c:idx val="3"/>
              <c:layout>
                <c:manualLayout>
                  <c:x val="-2.672310019433485E-2"/>
                  <c:y val="3.9615169303380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5D-4F43-9F73-D903D0FE3BBB}"/>
                </c:ext>
              </c:extLst>
            </c:dLbl>
            <c:dLbl>
              <c:idx val="4"/>
              <c:layout>
                <c:manualLayout>
                  <c:x val="0"/>
                  <c:y val="-4.2256180590272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5D-4F43-9F73-D903D0FE3BBB}"/>
                </c:ext>
              </c:extLst>
            </c:dLbl>
            <c:dLbl>
              <c:idx val="5"/>
              <c:layout>
                <c:manualLayout>
                  <c:x val="-4.879870470269846E-2"/>
                  <c:y val="2.90511241558121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5D-4F43-9F73-D903D0FE3BBB}"/>
                </c:ext>
              </c:extLst>
            </c:dLbl>
            <c:dLbl>
              <c:idx val="6"/>
              <c:layout>
                <c:manualLayout>
                  <c:x val="-3.253246980179899E-2"/>
                  <c:y val="4.7538203164056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5D-4F43-9F73-D903D0FE3BBB}"/>
                </c:ext>
              </c:extLst>
            </c:dLbl>
            <c:dLbl>
              <c:idx val="7"/>
              <c:layout>
                <c:manualLayout>
                  <c:x val="-2.556122627284203E-2"/>
                  <c:y val="-2.905112415581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5D-4F43-9F73-D903D0FE3BBB}"/>
                </c:ext>
              </c:extLst>
            </c:dLbl>
            <c:dLbl>
              <c:idx val="8"/>
              <c:layout>
                <c:manualLayout>
                  <c:x val="3.4856217644784588E-3"/>
                  <c:y val="-3.6974158016488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05D-4F43-9F73-D903D0FE3BBB}"/>
                </c:ext>
              </c:extLst>
            </c:dLbl>
            <c:dLbl>
              <c:idx val="9"/>
              <c:layout>
                <c:manualLayout>
                  <c:x val="-3.1370595880306128E-2"/>
                  <c:y val="-2.905112415581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05D-4F43-9F73-D903D0FE3BBB}"/>
                </c:ext>
              </c:extLst>
            </c:dLbl>
            <c:dLbl>
              <c:idx val="10"/>
              <c:layout>
                <c:manualLayout>
                  <c:x val="-2.3237478429857243E-3"/>
                  <c:y val="-4.7538203164056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5D-4F43-9F73-D903D0FE3BBB}"/>
                </c:ext>
              </c:extLst>
            </c:dLbl>
            <c:dLbl>
              <c:idx val="11"/>
              <c:layout>
                <c:manualLayout>
                  <c:x val="0"/>
                  <c:y val="-2.905112415581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16-4F77-8E47-AE57942FAC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RECAP!$A$6:$A$28</c:f>
              <c:strCache>
                <c:ptCount val="23"/>
                <c:pt idx="0">
                  <c:v>Sem_ 45</c:v>
                </c:pt>
                <c:pt idx="1">
                  <c:v>Sem_ 46</c:v>
                </c:pt>
                <c:pt idx="2">
                  <c:v>Sem_ 47</c:v>
                </c:pt>
                <c:pt idx="3">
                  <c:v>Sem_ 48</c:v>
                </c:pt>
                <c:pt idx="4">
                  <c:v>Sem_ 49</c:v>
                </c:pt>
                <c:pt idx="5">
                  <c:v>Sem_ 50</c:v>
                </c:pt>
                <c:pt idx="6">
                  <c:v>Sem_ 51</c:v>
                </c:pt>
                <c:pt idx="7">
                  <c:v>Sem_ 52/01</c:v>
                </c:pt>
                <c:pt idx="8">
                  <c:v>Sem_02</c:v>
                </c:pt>
                <c:pt idx="9">
                  <c:v>Sem_03</c:v>
                </c:pt>
                <c:pt idx="10">
                  <c:v>Sem_04</c:v>
                </c:pt>
                <c:pt idx="11">
                  <c:v>Sem_05</c:v>
                </c:pt>
                <c:pt idx="12">
                  <c:v>Sem_06</c:v>
                </c:pt>
                <c:pt idx="13">
                  <c:v>Sem_07</c:v>
                </c:pt>
                <c:pt idx="14">
                  <c:v>Sem_08</c:v>
                </c:pt>
                <c:pt idx="15">
                  <c:v>Sem_09</c:v>
                </c:pt>
                <c:pt idx="16">
                  <c:v>Sem_10</c:v>
                </c:pt>
                <c:pt idx="17">
                  <c:v>Sem_11</c:v>
                </c:pt>
                <c:pt idx="18">
                  <c:v>Sem_12</c:v>
                </c:pt>
                <c:pt idx="19">
                  <c:v>Sem_13</c:v>
                </c:pt>
                <c:pt idx="20">
                  <c:v>Sem_14</c:v>
                </c:pt>
                <c:pt idx="21">
                  <c:v>Sem_15</c:v>
                </c:pt>
                <c:pt idx="22">
                  <c:v>Sem_16</c:v>
                </c:pt>
              </c:strCache>
            </c:strRef>
          </c:cat>
          <c:val>
            <c:numRef>
              <c:f>RECAP!$F$6:$F$28</c:f>
              <c:numCache>
                <c:formatCode>#,##0</c:formatCode>
                <c:ptCount val="23"/>
                <c:pt idx="0">
                  <c:v>45544</c:v>
                </c:pt>
                <c:pt idx="1">
                  <c:v>41939</c:v>
                </c:pt>
                <c:pt idx="2">
                  <c:v>41433</c:v>
                </c:pt>
                <c:pt idx="3">
                  <c:v>41264</c:v>
                </c:pt>
                <c:pt idx="4">
                  <c:v>39619</c:v>
                </c:pt>
                <c:pt idx="5">
                  <c:v>36175</c:v>
                </c:pt>
                <c:pt idx="6">
                  <c:v>32901</c:v>
                </c:pt>
                <c:pt idx="7">
                  <c:v>38959</c:v>
                </c:pt>
                <c:pt idx="8">
                  <c:v>16467</c:v>
                </c:pt>
                <c:pt idx="9">
                  <c:v>43860</c:v>
                </c:pt>
                <c:pt idx="10">
                  <c:v>41931</c:v>
                </c:pt>
                <c:pt idx="11">
                  <c:v>41050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D-4F43-9F73-D903D0FE3BBB}"/>
            </c:ext>
          </c:extLst>
        </c:ser>
        <c:ser>
          <c:idx val="1"/>
          <c:order val="1"/>
          <c:tx>
            <c:strRef>
              <c:f>RECAP!$H$5</c:f>
              <c:strCache>
                <c:ptCount val="1"/>
                <c:pt idx="0">
                  <c:v>En 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856217644784692E-3"/>
                  <c:y val="-4.2256180590272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5D-4F43-9F73-D903D0FE3BBB}"/>
                </c:ext>
              </c:extLst>
            </c:dLbl>
            <c:dLbl>
              <c:idx val="1"/>
              <c:layout>
                <c:manualLayout>
                  <c:x val="-8.133117450449737E-3"/>
                  <c:y val="3.9615169303380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5D-4F43-9F73-D903D0FE3BBB}"/>
                </c:ext>
              </c:extLst>
            </c:dLbl>
            <c:dLbl>
              <c:idx val="2"/>
              <c:layout>
                <c:manualLayout>
                  <c:x val="-1.1618739214928409E-3"/>
                  <c:y val="-4.4897191877164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5D-4F43-9F73-D903D0FE3BBB}"/>
                </c:ext>
              </c:extLst>
            </c:dLbl>
            <c:dLbl>
              <c:idx val="3"/>
              <c:layout>
                <c:manualLayout>
                  <c:x val="-1.742810882239227E-2"/>
                  <c:y val="4.75382031640563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5D-4F43-9F73-D903D0FE3BBB}"/>
                </c:ext>
              </c:extLst>
            </c:dLbl>
            <c:dLbl>
              <c:idx val="4"/>
              <c:layout>
                <c:manualLayout>
                  <c:x val="-4.6474956859713203E-3"/>
                  <c:y val="-4.2256180590272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5D-4F43-9F73-D903D0FE3BBB}"/>
                </c:ext>
              </c:extLst>
            </c:dLbl>
            <c:dLbl>
              <c:idx val="5"/>
              <c:layout>
                <c:manualLayout>
                  <c:x val="0"/>
                  <c:y val="-2.3769101582028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5D-4F43-9F73-D903D0FE3BBB}"/>
                </c:ext>
              </c:extLst>
            </c:dLbl>
            <c:dLbl>
              <c:idx val="6"/>
              <c:layout>
                <c:manualLayout>
                  <c:x val="-2.672310019433485E-2"/>
                  <c:y val="4.48971918771642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5D-4F43-9F73-D903D0FE3BBB}"/>
                </c:ext>
              </c:extLst>
            </c:dLbl>
            <c:dLbl>
              <c:idx val="7"/>
              <c:layout>
                <c:manualLayout>
                  <c:x val="-5.8093696074641406E-3"/>
                  <c:y val="-3.43331467295962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5D-4F43-9F73-D903D0FE3BBB}"/>
                </c:ext>
              </c:extLst>
            </c:dLbl>
            <c:dLbl>
              <c:idx val="8"/>
              <c:layout>
                <c:manualLayout>
                  <c:x val="6.9712435289569176E-3"/>
                  <c:y val="-1.0564045147568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5D-4F43-9F73-D903D0FE3BBB}"/>
                </c:ext>
              </c:extLst>
            </c:dLbl>
            <c:dLbl>
              <c:idx val="9"/>
              <c:layout>
                <c:manualLayout>
                  <c:x val="-4.6474956859712778E-3"/>
                  <c:y val="-3.6974158016488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05D-4F43-9F73-D903D0FE3BBB}"/>
                </c:ext>
              </c:extLst>
            </c:dLbl>
            <c:dLbl>
              <c:idx val="10"/>
              <c:layout>
                <c:manualLayout>
                  <c:x val="-8.5203103302620087E-17"/>
                  <c:y val="-3.4333146729596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05D-4F43-9F73-D903D0FE3B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RECAP!$A$6:$A$28</c:f>
              <c:strCache>
                <c:ptCount val="23"/>
                <c:pt idx="0">
                  <c:v>Sem_ 45</c:v>
                </c:pt>
                <c:pt idx="1">
                  <c:v>Sem_ 46</c:v>
                </c:pt>
                <c:pt idx="2">
                  <c:v>Sem_ 47</c:v>
                </c:pt>
                <c:pt idx="3">
                  <c:v>Sem_ 48</c:v>
                </c:pt>
                <c:pt idx="4">
                  <c:v>Sem_ 49</c:v>
                </c:pt>
                <c:pt idx="5">
                  <c:v>Sem_ 50</c:v>
                </c:pt>
                <c:pt idx="6">
                  <c:v>Sem_ 51</c:v>
                </c:pt>
                <c:pt idx="7">
                  <c:v>Sem_ 52/01</c:v>
                </c:pt>
                <c:pt idx="8">
                  <c:v>Sem_02</c:v>
                </c:pt>
                <c:pt idx="9">
                  <c:v>Sem_03</c:v>
                </c:pt>
                <c:pt idx="10">
                  <c:v>Sem_04</c:v>
                </c:pt>
                <c:pt idx="11">
                  <c:v>Sem_05</c:v>
                </c:pt>
                <c:pt idx="12">
                  <c:v>Sem_06</c:v>
                </c:pt>
                <c:pt idx="13">
                  <c:v>Sem_07</c:v>
                </c:pt>
                <c:pt idx="14">
                  <c:v>Sem_08</c:v>
                </c:pt>
                <c:pt idx="15">
                  <c:v>Sem_09</c:v>
                </c:pt>
                <c:pt idx="16">
                  <c:v>Sem_10</c:v>
                </c:pt>
                <c:pt idx="17">
                  <c:v>Sem_11</c:v>
                </c:pt>
                <c:pt idx="18">
                  <c:v>Sem_12</c:v>
                </c:pt>
                <c:pt idx="19">
                  <c:v>Sem_13</c:v>
                </c:pt>
                <c:pt idx="20">
                  <c:v>Sem_14</c:v>
                </c:pt>
                <c:pt idx="21">
                  <c:v>Sem_15</c:v>
                </c:pt>
                <c:pt idx="22">
                  <c:v>Sem_16</c:v>
                </c:pt>
              </c:strCache>
            </c:strRef>
          </c:cat>
          <c:val>
            <c:numRef>
              <c:f>RECAP!$H$6:$H$28</c:f>
              <c:numCache>
                <c:formatCode>#,##0</c:formatCode>
                <c:ptCount val="23"/>
                <c:pt idx="0">
                  <c:v>13253.303999999998</c:v>
                </c:pt>
                <c:pt idx="1">
                  <c:v>12204.249</c:v>
                </c:pt>
                <c:pt idx="2">
                  <c:v>12057.002999999999</c:v>
                </c:pt>
                <c:pt idx="3">
                  <c:v>12007.823999999999</c:v>
                </c:pt>
                <c:pt idx="4">
                  <c:v>11529.128999999999</c:v>
                </c:pt>
                <c:pt idx="5">
                  <c:v>10526.924999999999</c:v>
                </c:pt>
                <c:pt idx="6">
                  <c:v>9574.1909999999989</c:v>
                </c:pt>
                <c:pt idx="7">
                  <c:v>11337.069</c:v>
                </c:pt>
                <c:pt idx="8">
                  <c:v>4791.8969999999999</c:v>
                </c:pt>
                <c:pt idx="9">
                  <c:v>12763.259999999998</c:v>
                </c:pt>
                <c:pt idx="10">
                  <c:v>12201.920999999998</c:v>
                </c:pt>
                <c:pt idx="11">
                  <c:v>11945.55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D-4F43-9F73-D903D0FE3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04591"/>
        <c:axId val="75405071"/>
      </c:lineChart>
      <c:catAx>
        <c:axId val="7540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5405071"/>
        <c:crosses val="autoZero"/>
        <c:auto val="1"/>
        <c:lblAlgn val="ctr"/>
        <c:lblOffset val="100"/>
        <c:noMultiLvlLbl val="0"/>
      </c:catAx>
      <c:valAx>
        <c:axId val="75405071"/>
        <c:scaling>
          <c:orientation val="minMax"/>
          <c:max val="6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5404591"/>
        <c:crosses val="autoZero"/>
        <c:crossBetween val="between"/>
      </c:valAx>
      <c:spPr>
        <a:noFill/>
        <a:ln w="952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89158325723211629"/>
          <c:y val="0.11987092733184658"/>
          <c:w val="9.5549675233367423E-2"/>
          <c:h val="0.153022044539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588816</xdr:colOff>
      <xdr:row>0</xdr:row>
      <xdr:rowOff>132052</xdr:rowOff>
    </xdr:from>
    <xdr:to>
      <xdr:col>5</xdr:col>
      <xdr:colOff>4363760</xdr:colOff>
      <xdr:row>0</xdr:row>
      <xdr:rowOff>1047750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FD1C714-6E04-4175-8861-9B926FC0C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81366" y="132052"/>
          <a:ext cx="3774944" cy="915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588816</xdr:colOff>
      <xdr:row>0</xdr:row>
      <xdr:rowOff>132052</xdr:rowOff>
    </xdr:from>
    <xdr:to>
      <xdr:col>5</xdr:col>
      <xdr:colOff>4363760</xdr:colOff>
      <xdr:row>0</xdr:row>
      <xdr:rowOff>1047750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27BFFCD-DAA8-4D85-B8B3-7E514683A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49996" y="132052"/>
          <a:ext cx="3774944" cy="915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163564</xdr:colOff>
      <xdr:row>0</xdr:row>
      <xdr:rowOff>249929</xdr:rowOff>
    </xdr:from>
    <xdr:to>
      <xdr:col>2</xdr:col>
      <xdr:colOff>943267</xdr:colOff>
      <xdr:row>0</xdr:row>
      <xdr:rowOff>1410433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064590B-5976-4129-BFCC-662AB8B2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64" y="249929"/>
          <a:ext cx="4323003" cy="1160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163564</xdr:colOff>
      <xdr:row>0</xdr:row>
      <xdr:rowOff>249929</xdr:rowOff>
    </xdr:from>
    <xdr:to>
      <xdr:col>2</xdr:col>
      <xdr:colOff>943267</xdr:colOff>
      <xdr:row>0</xdr:row>
      <xdr:rowOff>1410433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F17F62A-4A58-4F7C-B11C-BBBAD998F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64" y="249929"/>
          <a:ext cx="4422063" cy="1160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708773</xdr:colOff>
      <xdr:row>2</xdr:row>
      <xdr:rowOff>66115</xdr:rowOff>
    </xdr:from>
    <xdr:to>
      <xdr:col>7</xdr:col>
      <xdr:colOff>975473</xdr:colOff>
      <xdr:row>2</xdr:row>
      <xdr:rowOff>532840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9B5124EE-C901-4FA1-B93D-29B4DA8FC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098" y="447115"/>
          <a:ext cx="12573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134471</xdr:colOff>
      <xdr:row>1</xdr:row>
      <xdr:rowOff>0</xdr:rowOff>
    </xdr:from>
    <xdr:to>
      <xdr:col>10</xdr:col>
      <xdr:colOff>201707</xdr:colOff>
      <xdr:row>24</xdr:row>
      <xdr:rowOff>168088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94A88F58-8E3E-40BE-85E3-3C80205F3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179294</xdr:colOff>
      <xdr:row>22</xdr:row>
      <xdr:rowOff>168088</xdr:rowOff>
    </xdr:from>
    <xdr:to>
      <xdr:col>3</xdr:col>
      <xdr:colOff>403411</xdr:colOff>
      <xdr:row>24</xdr:row>
      <xdr:rowOff>123264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93C36C55-6EC4-28D1-A6F9-680E1C528065}"/>
            </a:ext>
          </a:extLst>
        </xdr:cNvPr>
        <xdr:cNvSpPr txBox="1"/>
      </xdr:nvSpPr>
      <xdr:spPr>
        <a:xfrm>
          <a:off x="179294" y="4359088"/>
          <a:ext cx="2510117" cy="33617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/>
            <a:t>2025</a:t>
          </a:r>
          <a:endParaRPr lang="fr-TN" sz="1600" b="1"/>
        </a:p>
      </xdr:txBody>
    </xdr:sp>
    <xdr:clientData/>
  </xdr:twoCellAnchor>
  <xdr:twoCellAnchor>
    <xdr:from>
      <xdr:col>3</xdr:col>
      <xdr:colOff>403413</xdr:colOff>
      <xdr:row>22</xdr:row>
      <xdr:rowOff>168087</xdr:rowOff>
    </xdr:from>
    <xdr:to>
      <xdr:col>10</xdr:col>
      <xdr:colOff>168088</xdr:colOff>
      <xdr:row>24</xdr:row>
      <xdr:rowOff>123263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23AC5152-01C7-9CEE-4D2E-4D6A96C679C2}"/>
            </a:ext>
          </a:extLst>
        </xdr:cNvPr>
        <xdr:cNvSpPr txBox="1"/>
      </xdr:nvSpPr>
      <xdr:spPr>
        <a:xfrm>
          <a:off x="2689413" y="4359087"/>
          <a:ext cx="5098675" cy="33617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/>
            <a:t>2026</a:t>
          </a:r>
          <a:endParaRPr lang="fr-TN" sz="1600" b="1"/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0.83626</cdr:x>
      <cdr:y>0.13298</cdr:y>
    </cdr:from>
    <cdr:to>
      <cdr:x>0.9879</cdr:x>
      <cdr:y>0.18205</cdr:y>
    </cdr:to>
    <cdr:sp macro="" textlink="">
      <cdr:nvSpPr>
        <cdr:cNvPr id="2" name="ZoneTexte 5">
          <a:extLst xmlns:a="http://schemas.openxmlformats.org/drawingml/2006/main">
            <a:ext uri="{FF2B5EF4-FFF2-40B4-BE49-F238E27FC236}">
              <a16:creationId xmlns:a16="http://schemas.microsoft.com/office/drawing/2014/main" id="{3F3475FE-EA94-45B4-94F9-DFE0A3950678}"/>
            </a:ext>
          </a:extLst>
        </cdr:cNvPr>
        <cdr:cNvSpPr txBox="1"/>
      </cdr:nvSpPr>
      <cdr:spPr>
        <a:xfrm xmlns:a="http://schemas.openxmlformats.org/drawingml/2006/main">
          <a:off x="6428507" y="605023"/>
          <a:ext cx="1165692" cy="22324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20000"/>
            <a:lumOff val="80000"/>
          </a:schemeClr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 b="1" i="1"/>
            <a:t>Max 180DT/Sem</a:t>
          </a:r>
          <a:endParaRPr lang="fr-TN" sz="1100" b="1" i="1"/>
        </a:p>
      </cdr:txBody>
    </cdr:sp>
  </cdr:relSizeAnchor>
  <cdr:relSizeAnchor xmlns:cdr="http://schemas.openxmlformats.org/drawingml/2006/chartDrawing">
    <cdr:from>
      <cdr:x>0.05394</cdr:x>
      <cdr:y>0.19363</cdr:y>
    </cdr:from>
    <cdr:to>
      <cdr:x>0.99417</cdr:x>
      <cdr:y>0.20754</cdr:y>
    </cdr:to>
    <cdr:sp macro="" textlink="">
      <cdr:nvSpPr>
        <cdr:cNvPr id="3" name="Organigramme : Procédé 2">
          <a:extLst xmlns:a="http://schemas.openxmlformats.org/drawingml/2006/main">
            <a:ext uri="{FF2B5EF4-FFF2-40B4-BE49-F238E27FC236}">
              <a16:creationId xmlns:a16="http://schemas.microsoft.com/office/drawing/2014/main" id="{B8D32FCA-3821-4A50-933C-BD82D38EC366}"/>
            </a:ext>
          </a:extLst>
        </cdr:cNvPr>
        <cdr:cNvSpPr/>
      </cdr:nvSpPr>
      <cdr:spPr>
        <a:xfrm xmlns:a="http://schemas.openxmlformats.org/drawingml/2006/main">
          <a:off x="414650" y="880937"/>
          <a:ext cx="7227769" cy="63280"/>
        </a:xfrm>
        <a:prstGeom xmlns:a="http://schemas.openxmlformats.org/drawingml/2006/main" prst="flowChartProcess">
          <a:avLst/>
        </a:prstGeom>
        <a:solidFill xmlns:a="http://schemas.openxmlformats.org/drawingml/2006/main">
          <a:srgbClr val="00B05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fr-TN" sz="11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38</xdr:row>
      <xdr:rowOff>0</xdr:rowOff>
    </xdr:from>
    <xdr:to>
      <xdr:col>3</xdr:col>
      <xdr:colOff>1268717</xdr:colOff>
      <xdr:row>44</xdr:row>
      <xdr:rowOff>0</xdr:rowOff>
    </xdr:to>
    <xdr:pic>
      <xdr:nvPicPr>
        <xdr:cNvPr id="6" name="Image 2">
          <a:extLst>
            <a:ext uri="{FF2B5EF4-FFF2-40B4-BE49-F238E27FC236}">
              <a16:creationId xmlns:a16="http://schemas.microsoft.com/office/drawing/2014/main" id="{3486DF9B-B144-4537-8D79-2CE0251DD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65786" y="7660821"/>
          <a:ext cx="1268717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190499</xdr:rowOff>
    </xdr:from>
    <xdr:to>
      <xdr:col>13</xdr:col>
      <xdr:colOff>462643</xdr:colOff>
      <xdr:row>24</xdr:row>
      <xdr:rowOff>27213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76864E5-A163-44D3-91DF-AE458DB26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504824</xdr:colOff>
      <xdr:row>22</xdr:row>
      <xdr:rowOff>57150</xdr:rowOff>
    </xdr:from>
    <xdr:to>
      <xdr:col>4</xdr:col>
      <xdr:colOff>352424</xdr:colOff>
      <xdr:row>24</xdr:row>
      <xdr:rowOff>28575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655437A2-BE1A-2A4C-4B80-7131C63D1816}"/>
            </a:ext>
          </a:extLst>
        </xdr:cNvPr>
        <xdr:cNvSpPr txBox="1"/>
      </xdr:nvSpPr>
      <xdr:spPr>
        <a:xfrm>
          <a:off x="504824" y="4648200"/>
          <a:ext cx="3457575" cy="3524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/>
            <a:t>2025</a:t>
          </a:r>
          <a:endParaRPr lang="fr-TN" sz="1600" b="1"/>
        </a:p>
      </xdr:txBody>
    </xdr:sp>
    <xdr:clientData/>
  </xdr:twoCellAnchor>
  <xdr:twoCellAnchor>
    <xdr:from>
      <xdr:col>4</xdr:col>
      <xdr:colOff>342899</xdr:colOff>
      <xdr:row>22</xdr:row>
      <xdr:rowOff>66675</xdr:rowOff>
    </xdr:from>
    <xdr:to>
      <xdr:col>13</xdr:col>
      <xdr:colOff>447675</xdr:colOff>
      <xdr:row>24</xdr:row>
      <xdr:rowOff>38100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817D6DB7-549E-AF9E-5768-42E15AA4E679}"/>
            </a:ext>
          </a:extLst>
        </xdr:cNvPr>
        <xdr:cNvSpPr txBox="1"/>
      </xdr:nvSpPr>
      <xdr:spPr>
        <a:xfrm>
          <a:off x="3952874" y="4657725"/>
          <a:ext cx="6962776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/>
            <a:t>2026</a:t>
          </a:r>
          <a:endParaRPr lang="fr-TN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1FE1-8576-4EF4-86E7-8AF93E8B4730}">
  <sheetPr>
    <tabColor rgb="FF00B050"/>
    <pageSetUpPr fitToPage="1"/>
  </sheetPr>
  <dimension ref="A1:N56"/>
  <sheetViews>
    <sheetView topLeftCell="A16" zoomScale="25" zoomScaleNormal="25" workbookViewId="0">
      <selection activeCell="A3" sqref="A3:F3"/>
    </sheetView>
  </sheetViews>
  <sheetFormatPr baseColWidth="10" defaultColWidth="11.42578125" defaultRowHeight="46.5" x14ac:dyDescent="0.7"/>
  <cols>
    <col min="1" max="1" width="99.42578125" style="36" bestFit="1" customWidth="1"/>
    <col min="2" max="2" width="20" style="37" bestFit="1" customWidth="1"/>
    <col min="3" max="3" width="40.5703125" customWidth="1"/>
    <col min="4" max="4" width="40.140625" style="38" customWidth="1"/>
    <col min="5" max="5" width="48.7109375" customWidth="1"/>
    <col min="6" max="6" width="67.28515625" customWidth="1"/>
    <col min="7" max="7" width="3.140625" customWidth="1"/>
    <col min="8" max="8" width="65.85546875" style="36" customWidth="1"/>
    <col min="9" max="9" width="54.42578125" customWidth="1"/>
    <col min="11" max="11" width="77.85546875" customWidth="1"/>
  </cols>
  <sheetData>
    <row r="1" spans="1:14" ht="94.5" customHeight="1" x14ac:dyDescent="0.25">
      <c r="A1" s="112" t="s">
        <v>0</v>
      </c>
      <c r="B1" s="113"/>
      <c r="C1" s="113"/>
      <c r="D1" s="113"/>
      <c r="E1" s="113"/>
      <c r="F1" s="113"/>
      <c r="G1" s="1"/>
      <c r="H1" s="114" t="s">
        <v>1</v>
      </c>
      <c r="I1" s="115"/>
    </row>
    <row r="2" spans="1:14" ht="24.75" customHeight="1" x14ac:dyDescent="0.25">
      <c r="A2" s="116"/>
      <c r="B2" s="117"/>
      <c r="C2" s="117"/>
      <c r="D2" s="117"/>
      <c r="E2" s="117"/>
      <c r="F2" s="117"/>
      <c r="G2" s="117"/>
      <c r="H2" s="117"/>
      <c r="I2" s="118"/>
    </row>
    <row r="3" spans="1:14" ht="104.25" x14ac:dyDescent="1.55">
      <c r="A3" s="119" t="s">
        <v>10</v>
      </c>
      <c r="B3" s="120"/>
      <c r="C3" s="120"/>
      <c r="D3" s="120"/>
      <c r="E3" s="120"/>
      <c r="F3" s="120"/>
      <c r="G3" s="2"/>
      <c r="H3" s="3" t="s">
        <v>2</v>
      </c>
      <c r="I3" s="4" t="s">
        <v>113</v>
      </c>
    </row>
    <row r="4" spans="1:14" ht="57.75" customHeight="1" x14ac:dyDescent="0.25">
      <c r="A4" s="5"/>
      <c r="B4" s="6" t="s">
        <v>3</v>
      </c>
      <c r="C4" s="7" t="s">
        <v>4</v>
      </c>
      <c r="D4" s="8" t="s">
        <v>5</v>
      </c>
      <c r="E4" s="9" t="s">
        <v>6</v>
      </c>
      <c r="F4" s="9" t="s">
        <v>7</v>
      </c>
      <c r="G4" s="10"/>
      <c r="H4" s="11"/>
      <c r="I4" s="12"/>
    </row>
    <row r="5" spans="1:14" ht="87.75" customHeight="1" x14ac:dyDescent="0.25">
      <c r="A5" s="13">
        <v>46023</v>
      </c>
      <c r="B5" s="14" t="s">
        <v>8</v>
      </c>
      <c r="C5" s="15">
        <v>2753</v>
      </c>
      <c r="D5" s="16">
        <v>1</v>
      </c>
      <c r="E5" s="17"/>
      <c r="F5" s="15"/>
      <c r="G5" s="10"/>
      <c r="H5" s="11"/>
      <c r="I5" s="12"/>
    </row>
    <row r="6" spans="1:14" ht="87.75" customHeight="1" x14ac:dyDescent="0.25">
      <c r="A6" s="13">
        <v>46024</v>
      </c>
      <c r="B6" s="14" t="s">
        <v>8</v>
      </c>
      <c r="C6" s="15"/>
      <c r="D6" s="16"/>
      <c r="E6" s="17"/>
      <c r="F6" s="15"/>
      <c r="G6" s="10"/>
      <c r="H6" s="11"/>
      <c r="I6" s="12"/>
    </row>
    <row r="7" spans="1:14" ht="87.75" customHeight="1" x14ac:dyDescent="0.25">
      <c r="A7" s="13">
        <v>46025</v>
      </c>
      <c r="B7" s="18" t="s">
        <v>8</v>
      </c>
      <c r="C7" s="20"/>
      <c r="D7" s="21"/>
      <c r="E7" s="22"/>
      <c r="F7" s="23"/>
      <c r="G7" s="10"/>
      <c r="H7" s="11"/>
      <c r="I7" s="12"/>
    </row>
    <row r="8" spans="1:14" ht="87.75" customHeight="1" x14ac:dyDescent="0.25">
      <c r="A8" s="13">
        <v>46026</v>
      </c>
      <c r="B8" s="18" t="s">
        <v>8</v>
      </c>
      <c r="C8" s="20"/>
      <c r="D8" s="21"/>
      <c r="E8" s="22"/>
      <c r="F8" s="23"/>
      <c r="G8" s="10"/>
      <c r="H8" s="11"/>
      <c r="I8" s="12"/>
      <c r="M8" s="19"/>
      <c r="N8" s="19"/>
    </row>
    <row r="9" spans="1:14" ht="87.75" customHeight="1" x14ac:dyDescent="0.25">
      <c r="A9" s="13">
        <v>46027</v>
      </c>
      <c r="B9" s="18" t="s">
        <v>8</v>
      </c>
      <c r="C9" s="15">
        <v>2757</v>
      </c>
      <c r="D9" s="16">
        <f>+C9-C5</f>
        <v>4</v>
      </c>
      <c r="E9" s="17" t="s">
        <v>41</v>
      </c>
      <c r="F9" s="15" t="s">
        <v>42</v>
      </c>
      <c r="G9" s="10"/>
      <c r="H9" s="96">
        <v>4</v>
      </c>
      <c r="I9" s="12"/>
    </row>
    <row r="10" spans="1:14" ht="87.75" customHeight="1" x14ac:dyDescent="0.25">
      <c r="A10" s="13">
        <v>46028</v>
      </c>
      <c r="B10" s="18" t="s">
        <v>8</v>
      </c>
      <c r="C10" s="15">
        <v>2760</v>
      </c>
      <c r="D10" s="16">
        <f>+C10-C9</f>
        <v>3</v>
      </c>
      <c r="E10" s="17" t="s">
        <v>41</v>
      </c>
      <c r="F10" s="15" t="s">
        <v>42</v>
      </c>
      <c r="G10" s="10"/>
      <c r="H10" s="11"/>
      <c r="I10" s="12"/>
    </row>
    <row r="11" spans="1:14" ht="87.75" customHeight="1" x14ac:dyDescent="0.25">
      <c r="A11" s="13">
        <v>46029</v>
      </c>
      <c r="B11" s="18" t="s">
        <v>8</v>
      </c>
      <c r="C11" s="15">
        <v>2765</v>
      </c>
      <c r="D11" s="16">
        <f>+C11-C10</f>
        <v>5</v>
      </c>
      <c r="E11" s="17" t="s">
        <v>41</v>
      </c>
      <c r="F11" s="15" t="s">
        <v>42</v>
      </c>
      <c r="G11" s="10"/>
      <c r="H11" s="11"/>
      <c r="I11" s="12"/>
    </row>
    <row r="12" spans="1:14" ht="87.75" customHeight="1" x14ac:dyDescent="0.25">
      <c r="A12" s="13">
        <v>46030</v>
      </c>
      <c r="B12" s="18" t="s">
        <v>8</v>
      </c>
      <c r="C12" s="15">
        <v>2774</v>
      </c>
      <c r="D12" s="16">
        <f>+C12-C11</f>
        <v>9</v>
      </c>
      <c r="E12" s="17" t="s">
        <v>41</v>
      </c>
      <c r="F12" s="15" t="s">
        <v>42</v>
      </c>
      <c r="G12" s="10"/>
      <c r="H12" s="11"/>
      <c r="I12" s="12"/>
    </row>
    <row r="13" spans="1:14" ht="87.75" customHeight="1" x14ac:dyDescent="0.25">
      <c r="A13" s="13">
        <v>46031</v>
      </c>
      <c r="B13" s="14" t="s">
        <v>8</v>
      </c>
      <c r="C13" s="15">
        <v>2783</v>
      </c>
      <c r="D13" s="16">
        <f>+C13-C12</f>
        <v>9</v>
      </c>
      <c r="E13" s="17" t="s">
        <v>41</v>
      </c>
      <c r="F13" s="15" t="s">
        <v>42</v>
      </c>
      <c r="G13" s="10"/>
      <c r="H13" s="11"/>
      <c r="I13" s="12"/>
    </row>
    <row r="14" spans="1:14" ht="87.75" customHeight="1" x14ac:dyDescent="0.25">
      <c r="A14" s="13">
        <v>46032</v>
      </c>
      <c r="B14" s="18" t="s">
        <v>8</v>
      </c>
      <c r="C14" s="20"/>
      <c r="D14" s="21"/>
      <c r="E14" s="22"/>
      <c r="F14" s="23"/>
      <c r="G14" s="10"/>
      <c r="H14" s="11"/>
      <c r="I14" s="12"/>
    </row>
    <row r="15" spans="1:14" ht="87.75" customHeight="1" x14ac:dyDescent="0.25">
      <c r="A15" s="13">
        <v>46033</v>
      </c>
      <c r="B15" s="18" t="s">
        <v>8</v>
      </c>
      <c r="C15" s="20"/>
      <c r="D15" s="21"/>
      <c r="E15" s="22"/>
      <c r="F15" s="23"/>
      <c r="G15" s="10"/>
      <c r="H15" s="11"/>
      <c r="I15" s="12"/>
    </row>
    <row r="16" spans="1:14" ht="87.75" customHeight="1" x14ac:dyDescent="0.25">
      <c r="A16" s="13">
        <v>46034</v>
      </c>
      <c r="B16" s="14" t="s">
        <v>8</v>
      </c>
      <c r="C16" s="15">
        <v>2790</v>
      </c>
      <c r="D16" s="16">
        <f>C16-C13</f>
        <v>7</v>
      </c>
      <c r="E16" s="17" t="s">
        <v>43</v>
      </c>
      <c r="F16" s="15" t="s">
        <v>42</v>
      </c>
      <c r="G16" s="10"/>
      <c r="H16" s="97">
        <f>+SUM(D9:D13)</f>
        <v>30</v>
      </c>
      <c r="I16" s="12"/>
    </row>
    <row r="17" spans="1:9" ht="87.75" customHeight="1" x14ac:dyDescent="0.25">
      <c r="A17" s="13">
        <v>46035</v>
      </c>
      <c r="B17" s="14" t="s">
        <v>8</v>
      </c>
      <c r="C17" s="15">
        <v>2801</v>
      </c>
      <c r="D17" s="16">
        <f>C17-C16</f>
        <v>11</v>
      </c>
      <c r="E17" s="17" t="s">
        <v>43</v>
      </c>
      <c r="F17" s="15" t="s">
        <v>42</v>
      </c>
      <c r="G17" s="10"/>
      <c r="H17" s="11"/>
      <c r="I17" s="12"/>
    </row>
    <row r="18" spans="1:9" ht="87.75" customHeight="1" x14ac:dyDescent="0.25">
      <c r="A18" s="13">
        <v>46036</v>
      </c>
      <c r="B18" s="14" t="s">
        <v>8</v>
      </c>
      <c r="C18" s="15">
        <v>2814</v>
      </c>
      <c r="D18" s="16">
        <v>13</v>
      </c>
      <c r="E18" s="17" t="s">
        <v>43</v>
      </c>
      <c r="F18" s="74" t="s">
        <v>45</v>
      </c>
      <c r="G18" s="10"/>
      <c r="H18" s="11"/>
      <c r="I18" s="12"/>
    </row>
    <row r="19" spans="1:9" ht="87.75" customHeight="1" x14ac:dyDescent="0.25">
      <c r="A19" s="13">
        <v>46037</v>
      </c>
      <c r="B19" s="14" t="s">
        <v>8</v>
      </c>
      <c r="C19" s="15">
        <v>2823</v>
      </c>
      <c r="D19" s="16">
        <f>C19-C18</f>
        <v>9</v>
      </c>
      <c r="E19" s="17" t="s">
        <v>44</v>
      </c>
      <c r="F19" s="15" t="s">
        <v>42</v>
      </c>
      <c r="G19" s="10"/>
      <c r="H19" s="11"/>
      <c r="I19" s="12"/>
    </row>
    <row r="20" spans="1:9" ht="87.75" customHeight="1" x14ac:dyDescent="0.25">
      <c r="A20" s="13">
        <v>46038</v>
      </c>
      <c r="B20" s="14" t="s">
        <v>8</v>
      </c>
      <c r="C20" s="15">
        <v>2832</v>
      </c>
      <c r="D20" s="16">
        <f>C20-C19</f>
        <v>9</v>
      </c>
      <c r="E20" s="17" t="s">
        <v>43</v>
      </c>
      <c r="F20" s="15" t="s">
        <v>42</v>
      </c>
      <c r="G20" s="10"/>
      <c r="H20" s="11"/>
      <c r="I20" s="12"/>
    </row>
    <row r="21" spans="1:9" ht="87.75" customHeight="1" x14ac:dyDescent="0.25">
      <c r="A21" s="13">
        <v>46039</v>
      </c>
      <c r="B21" s="18" t="s">
        <v>8</v>
      </c>
      <c r="C21" s="20"/>
      <c r="D21" s="21"/>
      <c r="E21" s="22"/>
      <c r="F21" s="23"/>
      <c r="G21" s="10"/>
      <c r="H21" s="11"/>
      <c r="I21" s="12"/>
    </row>
    <row r="22" spans="1:9" ht="87.75" customHeight="1" x14ac:dyDescent="0.25">
      <c r="A22" s="13">
        <v>46040</v>
      </c>
      <c r="B22" s="18" t="s">
        <v>8</v>
      </c>
      <c r="C22" s="20"/>
      <c r="D22" s="21"/>
      <c r="E22" s="22"/>
      <c r="F22" s="23"/>
      <c r="G22" s="10"/>
      <c r="H22" s="11"/>
      <c r="I22" s="12"/>
    </row>
    <row r="23" spans="1:9" ht="87.75" customHeight="1" x14ac:dyDescent="0.25">
      <c r="A23" s="13">
        <v>46041</v>
      </c>
      <c r="B23" s="14" t="s">
        <v>8</v>
      </c>
      <c r="C23" s="15">
        <v>2843</v>
      </c>
      <c r="D23" s="16">
        <f>+C23-C20</f>
        <v>11</v>
      </c>
      <c r="E23" s="17" t="s">
        <v>41</v>
      </c>
      <c r="F23" s="15" t="s">
        <v>42</v>
      </c>
      <c r="G23" s="10"/>
      <c r="H23" s="97">
        <f>+SUM(D16:D20)</f>
        <v>49</v>
      </c>
      <c r="I23" s="12"/>
    </row>
    <row r="24" spans="1:9" ht="87.75" customHeight="1" x14ac:dyDescent="0.25">
      <c r="A24" s="13">
        <v>46042</v>
      </c>
      <c r="B24" s="14" t="s">
        <v>8</v>
      </c>
      <c r="C24" s="15">
        <v>2853</v>
      </c>
      <c r="D24" s="16">
        <f>+C24-C23</f>
        <v>10</v>
      </c>
      <c r="E24" s="17" t="s">
        <v>41</v>
      </c>
      <c r="F24" s="15" t="s">
        <v>42</v>
      </c>
      <c r="G24" s="10"/>
      <c r="H24" s="11"/>
      <c r="I24" s="12"/>
    </row>
    <row r="25" spans="1:9" ht="87.75" customHeight="1" x14ac:dyDescent="0.25">
      <c r="A25" s="13">
        <v>46043</v>
      </c>
      <c r="B25" s="14" t="s">
        <v>8</v>
      </c>
      <c r="C25" s="15">
        <v>2860</v>
      </c>
      <c r="D25" s="16">
        <f>+C25-C24</f>
        <v>7</v>
      </c>
      <c r="E25" s="17" t="s">
        <v>41</v>
      </c>
      <c r="F25" s="15" t="s">
        <v>42</v>
      </c>
      <c r="G25" s="10"/>
      <c r="H25" s="11"/>
      <c r="I25" s="12"/>
    </row>
    <row r="26" spans="1:9" s="25" customFormat="1" ht="87.75" customHeight="1" x14ac:dyDescent="0.25">
      <c r="A26" s="13">
        <v>46044</v>
      </c>
      <c r="B26" s="14" t="s">
        <v>8</v>
      </c>
      <c r="C26" s="15">
        <v>2867</v>
      </c>
      <c r="D26" s="16">
        <f>+C26-C25</f>
        <v>7</v>
      </c>
      <c r="E26" s="17" t="s">
        <v>41</v>
      </c>
      <c r="F26" s="15" t="s">
        <v>42</v>
      </c>
      <c r="G26" s="10"/>
      <c r="H26" s="11"/>
      <c r="I26" s="24"/>
    </row>
    <row r="27" spans="1:9" ht="87.75" customHeight="1" x14ac:dyDescent="0.25">
      <c r="A27" s="13">
        <v>46045</v>
      </c>
      <c r="B27" s="14" t="s">
        <v>8</v>
      </c>
      <c r="C27" s="15">
        <v>2874</v>
      </c>
      <c r="D27" s="16">
        <f>+C27-C26</f>
        <v>7</v>
      </c>
      <c r="E27" s="17" t="s">
        <v>41</v>
      </c>
      <c r="F27" s="15" t="s">
        <v>42</v>
      </c>
      <c r="G27" s="10"/>
      <c r="H27" s="11"/>
      <c r="I27" s="12"/>
    </row>
    <row r="28" spans="1:9" ht="87.75" customHeight="1" x14ac:dyDescent="0.25">
      <c r="A28" s="13">
        <v>46046</v>
      </c>
      <c r="B28" s="18" t="s">
        <v>8</v>
      </c>
      <c r="C28" s="20"/>
      <c r="D28" s="21"/>
      <c r="E28" s="22"/>
      <c r="F28" s="23"/>
      <c r="G28" s="10"/>
      <c r="H28" s="11"/>
      <c r="I28" s="12"/>
    </row>
    <row r="29" spans="1:9" ht="87.75" customHeight="1" x14ac:dyDescent="0.25">
      <c r="A29" s="13">
        <v>46047</v>
      </c>
      <c r="B29" s="18" t="s">
        <v>8</v>
      </c>
      <c r="C29" s="20"/>
      <c r="D29" s="21"/>
      <c r="E29" s="22"/>
      <c r="F29" s="23"/>
      <c r="G29" s="10"/>
      <c r="H29" s="11"/>
      <c r="I29" s="12"/>
    </row>
    <row r="30" spans="1:9" ht="87.75" customHeight="1" x14ac:dyDescent="0.25">
      <c r="A30" s="13">
        <v>46048</v>
      </c>
      <c r="B30" s="14" t="s">
        <v>8</v>
      </c>
      <c r="C30" s="15">
        <v>2886</v>
      </c>
      <c r="D30" s="16">
        <f>+C30-C27</f>
        <v>12</v>
      </c>
      <c r="E30" s="17" t="s">
        <v>41</v>
      </c>
      <c r="F30" s="15" t="s">
        <v>42</v>
      </c>
      <c r="G30" s="10"/>
      <c r="H30" s="97">
        <f>+SUM(D23:D27)</f>
        <v>42</v>
      </c>
      <c r="I30" s="12"/>
    </row>
    <row r="31" spans="1:9" ht="87.75" customHeight="1" x14ac:dyDescent="0.25">
      <c r="A31" s="13">
        <v>46049</v>
      </c>
      <c r="B31" s="14" t="s">
        <v>8</v>
      </c>
      <c r="C31" s="15">
        <v>2896</v>
      </c>
      <c r="D31" s="16">
        <f>+C31-C30</f>
        <v>10</v>
      </c>
      <c r="E31" s="17" t="s">
        <v>43</v>
      </c>
      <c r="F31" s="15" t="s">
        <v>42</v>
      </c>
      <c r="G31" s="10"/>
      <c r="H31" s="11"/>
      <c r="I31" s="12"/>
    </row>
    <row r="32" spans="1:9" ht="87.75" customHeight="1" x14ac:dyDescent="0.25">
      <c r="A32" s="13">
        <v>46050</v>
      </c>
      <c r="B32" s="14" t="s">
        <v>8</v>
      </c>
      <c r="C32" s="15">
        <v>2907</v>
      </c>
      <c r="D32" s="16">
        <f t="shared" ref="D32:D33" si="0">+C32-C31</f>
        <v>11</v>
      </c>
      <c r="E32" s="17" t="s">
        <v>41</v>
      </c>
      <c r="F32" s="15" t="s">
        <v>42</v>
      </c>
      <c r="G32" s="10"/>
      <c r="H32" s="11"/>
      <c r="I32" s="12"/>
    </row>
    <row r="33" spans="1:9" ht="87.75" customHeight="1" x14ac:dyDescent="0.25">
      <c r="A33" s="13">
        <v>46051</v>
      </c>
      <c r="B33" s="14" t="s">
        <v>8</v>
      </c>
      <c r="C33" s="15">
        <v>2920</v>
      </c>
      <c r="D33" s="16">
        <f t="shared" si="0"/>
        <v>13</v>
      </c>
      <c r="E33" s="17" t="s">
        <v>41</v>
      </c>
      <c r="F33" s="15" t="s">
        <v>42</v>
      </c>
      <c r="G33" s="10"/>
      <c r="H33" s="11"/>
      <c r="I33" s="26"/>
    </row>
    <row r="34" spans="1:9" ht="87.75" customHeight="1" x14ac:dyDescent="0.25">
      <c r="A34" s="13">
        <v>46052</v>
      </c>
      <c r="B34" s="14" t="s">
        <v>8</v>
      </c>
      <c r="C34" s="15">
        <v>2931</v>
      </c>
      <c r="D34" s="15">
        <f>+C34-C33</f>
        <v>11</v>
      </c>
      <c r="E34" s="17" t="s">
        <v>41</v>
      </c>
      <c r="F34" s="15" t="s">
        <v>42</v>
      </c>
      <c r="G34" s="10"/>
      <c r="H34" s="11"/>
      <c r="I34" s="12"/>
    </row>
    <row r="35" spans="1:9" ht="63.75" customHeight="1" x14ac:dyDescent="0.25">
      <c r="A35" s="13">
        <v>46053</v>
      </c>
      <c r="B35" s="18" t="s">
        <v>8</v>
      </c>
      <c r="C35" s="20"/>
      <c r="D35" s="22"/>
      <c r="E35" s="22"/>
      <c r="F35" s="23"/>
      <c r="G35" s="10"/>
      <c r="H35" s="97">
        <f>+SUM(D28:D32)</f>
        <v>33</v>
      </c>
      <c r="I35" s="12"/>
    </row>
    <row r="36" spans="1:9" ht="63.75" customHeight="1" x14ac:dyDescent="0.25">
      <c r="A36" s="13">
        <v>46054</v>
      </c>
      <c r="B36" s="18" t="s">
        <v>8</v>
      </c>
      <c r="C36" s="20"/>
      <c r="D36" s="21"/>
      <c r="E36" s="22"/>
      <c r="F36" s="23"/>
      <c r="G36" s="10"/>
      <c r="H36" s="11"/>
      <c r="I36" s="12"/>
    </row>
    <row r="37" spans="1:9" ht="57.75" customHeight="1" thickBot="1" x14ac:dyDescent="0.3">
      <c r="A37" s="30"/>
      <c r="B37" s="30"/>
      <c r="C37" s="31" t="s">
        <v>2</v>
      </c>
      <c r="D37" s="32">
        <f>SUM(D5:D36)</f>
        <v>179</v>
      </c>
      <c r="E37" s="33"/>
      <c r="F37" s="34"/>
      <c r="G37" s="28"/>
      <c r="H37" s="35">
        <f>+SUM(H4:H36)</f>
        <v>158</v>
      </c>
      <c r="I37" s="12"/>
    </row>
    <row r="38" spans="1:9" ht="46.5" customHeight="1" x14ac:dyDescent="0.25">
      <c r="A38" s="121" t="s">
        <v>9</v>
      </c>
      <c r="B38" s="122"/>
      <c r="C38" s="122"/>
      <c r="D38" s="122"/>
      <c r="E38" s="122"/>
      <c r="F38" s="122"/>
      <c r="G38" s="122"/>
      <c r="H38" s="122"/>
      <c r="I38" s="123"/>
    </row>
    <row r="39" spans="1:9" ht="46.5" customHeight="1" x14ac:dyDescent="0.25">
      <c r="A39" s="124"/>
      <c r="B39" s="125"/>
      <c r="C39" s="125"/>
      <c r="D39" s="125"/>
      <c r="E39" s="125"/>
      <c r="F39" s="125"/>
      <c r="G39" s="125"/>
      <c r="H39" s="125"/>
      <c r="I39" s="126"/>
    </row>
    <row r="40" spans="1:9" ht="46.5" customHeight="1" x14ac:dyDescent="0.25">
      <c r="A40" s="124"/>
      <c r="B40" s="125"/>
      <c r="C40" s="125"/>
      <c r="D40" s="125"/>
      <c r="E40" s="125"/>
      <c r="F40" s="125"/>
      <c r="G40" s="125"/>
      <c r="H40" s="125"/>
      <c r="I40" s="126"/>
    </row>
    <row r="41" spans="1:9" ht="46.5" customHeight="1" x14ac:dyDescent="0.25">
      <c r="A41" s="124"/>
      <c r="B41" s="125"/>
      <c r="C41" s="125"/>
      <c r="D41" s="125"/>
      <c r="E41" s="125"/>
      <c r="F41" s="125"/>
      <c r="G41" s="125"/>
      <c r="H41" s="125"/>
      <c r="I41" s="126"/>
    </row>
    <row r="42" spans="1:9" ht="46.5" customHeight="1" x14ac:dyDescent="0.25">
      <c r="A42" s="124"/>
      <c r="B42" s="125"/>
      <c r="C42" s="125"/>
      <c r="D42" s="125"/>
      <c r="E42" s="125"/>
      <c r="F42" s="125"/>
      <c r="G42" s="125"/>
      <c r="H42" s="125"/>
      <c r="I42" s="126"/>
    </row>
    <row r="43" spans="1:9" ht="46.5" customHeight="1" thickBot="1" x14ac:dyDescent="0.3">
      <c r="A43" s="127"/>
      <c r="B43" s="128"/>
      <c r="C43" s="128"/>
      <c r="D43" s="128"/>
      <c r="E43" s="128"/>
      <c r="F43" s="128"/>
      <c r="G43" s="128"/>
      <c r="H43" s="128"/>
      <c r="I43" s="129"/>
    </row>
    <row r="56" spans="6:9" x14ac:dyDescent="0.7">
      <c r="F56" s="111"/>
      <c r="G56" s="111"/>
      <c r="H56" s="111"/>
      <c r="I56" s="111"/>
    </row>
  </sheetData>
  <mergeCells count="6">
    <mergeCell ref="F56:I56"/>
    <mergeCell ref="A1:F1"/>
    <mergeCell ref="H1:I1"/>
    <mergeCell ref="A2:I2"/>
    <mergeCell ref="A3:F3"/>
    <mergeCell ref="A38:I43"/>
  </mergeCells>
  <phoneticPr fontId="19" type="noConversion"/>
  <pageMargins left="0.7" right="0.7" top="0.75" bottom="0.75" header="0.3" footer="0.3"/>
  <pageSetup paperSize="9" scale="1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63C1-4F40-425B-B6A1-E6DEAEBE788A}">
  <sheetPr>
    <tabColor rgb="FF00B050"/>
    <pageSetUpPr fitToPage="1"/>
  </sheetPr>
  <dimension ref="A1:I53"/>
  <sheetViews>
    <sheetView tabSelected="1" topLeftCell="A10" zoomScale="40" zoomScaleNormal="40" workbookViewId="0">
      <selection activeCell="D15" sqref="D15"/>
    </sheetView>
  </sheetViews>
  <sheetFormatPr baseColWidth="10" defaultColWidth="11.42578125" defaultRowHeight="46.5" x14ac:dyDescent="0.7"/>
  <cols>
    <col min="1" max="1" width="99.42578125" style="36" bestFit="1" customWidth="1"/>
    <col min="2" max="2" width="20" style="37" bestFit="1" customWidth="1"/>
    <col min="3" max="3" width="40.5703125" customWidth="1"/>
    <col min="4" max="4" width="40.140625" style="38" customWidth="1"/>
    <col min="5" max="5" width="48.7109375" customWidth="1"/>
    <col min="6" max="6" width="67.28515625" customWidth="1"/>
    <col min="7" max="7" width="3.140625" customWidth="1"/>
    <col min="8" max="8" width="65.85546875" style="36" customWidth="1"/>
    <col min="9" max="9" width="54.42578125" customWidth="1"/>
    <col min="11" max="11" width="77.85546875" customWidth="1"/>
  </cols>
  <sheetData>
    <row r="1" spans="1:9" ht="94.5" customHeight="1" x14ac:dyDescent="0.25">
      <c r="A1" s="112" t="s">
        <v>0</v>
      </c>
      <c r="B1" s="113"/>
      <c r="C1" s="113"/>
      <c r="D1" s="113"/>
      <c r="E1" s="113"/>
      <c r="F1" s="113"/>
      <c r="G1" s="1"/>
      <c r="H1" s="114" t="s">
        <v>1</v>
      </c>
      <c r="I1" s="115"/>
    </row>
    <row r="2" spans="1:9" ht="24.75" customHeight="1" x14ac:dyDescent="0.25">
      <c r="A2" s="116"/>
      <c r="B2" s="117"/>
      <c r="C2" s="117"/>
      <c r="D2" s="117"/>
      <c r="E2" s="117"/>
      <c r="F2" s="117"/>
      <c r="G2" s="117"/>
      <c r="H2" s="117"/>
      <c r="I2" s="118"/>
    </row>
    <row r="3" spans="1:9" ht="104.25" x14ac:dyDescent="1.55">
      <c r="A3" s="119" t="s">
        <v>116</v>
      </c>
      <c r="B3" s="120"/>
      <c r="C3" s="120"/>
      <c r="D3" s="120"/>
      <c r="E3" s="120"/>
      <c r="F3" s="120"/>
      <c r="G3" s="2"/>
      <c r="H3" s="3" t="s">
        <v>2</v>
      </c>
      <c r="I3" s="4" t="s">
        <v>113</v>
      </c>
    </row>
    <row r="4" spans="1:9" ht="57.75" customHeight="1" x14ac:dyDescent="0.25">
      <c r="A4" s="5"/>
      <c r="B4" s="6" t="s">
        <v>3</v>
      </c>
      <c r="C4" s="7" t="s">
        <v>4</v>
      </c>
      <c r="D4" s="8" t="s">
        <v>5</v>
      </c>
      <c r="E4" s="9" t="s">
        <v>6</v>
      </c>
      <c r="F4" s="9" t="s">
        <v>7</v>
      </c>
      <c r="G4" s="10"/>
      <c r="H4" s="11"/>
      <c r="I4" s="12"/>
    </row>
    <row r="5" spans="1:9" ht="87.75" customHeight="1" x14ac:dyDescent="0.25">
      <c r="A5" s="13">
        <v>46055</v>
      </c>
      <c r="B5" s="18" t="s">
        <v>8</v>
      </c>
      <c r="C5" s="29">
        <v>2949</v>
      </c>
      <c r="D5" s="27">
        <f>+C5-'EAU-01'!C34</f>
        <v>18</v>
      </c>
      <c r="E5" s="17" t="s">
        <v>43</v>
      </c>
      <c r="F5" s="15" t="s">
        <v>42</v>
      </c>
      <c r="G5" s="10"/>
      <c r="H5" s="11"/>
      <c r="I5" s="12"/>
    </row>
    <row r="6" spans="1:9" ht="87.75" customHeight="1" x14ac:dyDescent="0.25">
      <c r="A6" s="13">
        <v>46056</v>
      </c>
      <c r="B6" s="18" t="s">
        <v>8</v>
      </c>
      <c r="C6" s="15">
        <v>2963</v>
      </c>
      <c r="D6" s="16">
        <f>+C6-C5</f>
        <v>14</v>
      </c>
      <c r="E6" s="17" t="s">
        <v>43</v>
      </c>
      <c r="F6" s="15" t="s">
        <v>42</v>
      </c>
      <c r="G6" s="10"/>
      <c r="H6" s="11"/>
      <c r="I6" s="12"/>
    </row>
    <row r="7" spans="1:9" ht="87.75" customHeight="1" x14ac:dyDescent="0.25">
      <c r="A7" s="13">
        <v>46057</v>
      </c>
      <c r="B7" s="18" t="s">
        <v>8</v>
      </c>
      <c r="C7" s="15">
        <v>2972</v>
      </c>
      <c r="D7" s="16">
        <f>+C7-C6</f>
        <v>9</v>
      </c>
      <c r="E7" s="17" t="s">
        <v>43</v>
      </c>
      <c r="F7" s="15" t="s">
        <v>42</v>
      </c>
      <c r="G7" s="10"/>
      <c r="H7" s="11"/>
      <c r="I7" s="12"/>
    </row>
    <row r="8" spans="1:9" ht="87.75" customHeight="1" x14ac:dyDescent="0.25">
      <c r="A8" s="13">
        <v>46058</v>
      </c>
      <c r="B8" s="18" t="s">
        <v>8</v>
      </c>
      <c r="C8" s="15">
        <v>2980</v>
      </c>
      <c r="D8" s="16">
        <f t="shared" ref="D8:D9" si="0">+C8-C7</f>
        <v>8</v>
      </c>
      <c r="E8" s="17" t="s">
        <v>43</v>
      </c>
      <c r="F8" s="15" t="s">
        <v>42</v>
      </c>
      <c r="G8" s="10"/>
      <c r="H8" s="11"/>
      <c r="I8" s="12"/>
    </row>
    <row r="9" spans="1:9" ht="87.75" customHeight="1" x14ac:dyDescent="0.25">
      <c r="A9" s="13">
        <v>46059</v>
      </c>
      <c r="B9" s="14" t="s">
        <v>8</v>
      </c>
      <c r="C9" s="15">
        <v>2988</v>
      </c>
      <c r="D9" s="16">
        <f t="shared" si="0"/>
        <v>8</v>
      </c>
      <c r="E9" s="17" t="s">
        <v>43</v>
      </c>
      <c r="F9" s="15" t="s">
        <v>42</v>
      </c>
      <c r="G9" s="10"/>
      <c r="H9" s="11"/>
      <c r="I9" s="12"/>
    </row>
    <row r="10" spans="1:9" ht="87.75" customHeight="1" x14ac:dyDescent="0.25">
      <c r="A10" s="13">
        <v>46060</v>
      </c>
      <c r="B10" s="18" t="s">
        <v>8</v>
      </c>
      <c r="C10" s="20"/>
      <c r="D10" s="21"/>
      <c r="E10" s="22"/>
      <c r="F10" s="23"/>
      <c r="G10" s="10"/>
      <c r="H10" s="11"/>
      <c r="I10" s="12"/>
    </row>
    <row r="11" spans="1:9" ht="87.75" customHeight="1" x14ac:dyDescent="0.25">
      <c r="A11" s="13">
        <v>46061</v>
      </c>
      <c r="B11" s="18" t="s">
        <v>8</v>
      </c>
      <c r="C11" s="20"/>
      <c r="D11" s="21"/>
      <c r="E11" s="22"/>
      <c r="F11" s="23"/>
      <c r="G11" s="10"/>
      <c r="H11" s="11"/>
      <c r="I11" s="12"/>
    </row>
    <row r="12" spans="1:9" ht="87.75" customHeight="1" x14ac:dyDescent="0.25">
      <c r="A12" s="13">
        <v>46062</v>
      </c>
      <c r="B12" s="14" t="s">
        <v>8</v>
      </c>
      <c r="C12" s="15">
        <v>2998</v>
      </c>
      <c r="D12" s="16">
        <f>+C12-C9</f>
        <v>10</v>
      </c>
      <c r="E12" s="17" t="s">
        <v>41</v>
      </c>
      <c r="F12" s="15" t="s">
        <v>42</v>
      </c>
      <c r="G12" s="10"/>
      <c r="H12" s="97">
        <f>+SUM(D5:D9)</f>
        <v>57</v>
      </c>
      <c r="I12" s="12"/>
    </row>
    <row r="13" spans="1:9" ht="87.75" customHeight="1" x14ac:dyDescent="0.25">
      <c r="A13" s="13">
        <v>46063</v>
      </c>
      <c r="B13" s="14" t="s">
        <v>8</v>
      </c>
      <c r="C13" s="15">
        <v>3006</v>
      </c>
      <c r="D13" s="16">
        <f>+C13-C12</f>
        <v>8</v>
      </c>
      <c r="E13" s="17" t="s">
        <v>43</v>
      </c>
      <c r="F13" s="15" t="s">
        <v>42</v>
      </c>
      <c r="G13" s="10"/>
      <c r="H13" s="11"/>
      <c r="I13" s="12"/>
    </row>
    <row r="14" spans="1:9" ht="87.75" customHeight="1" x14ac:dyDescent="0.25">
      <c r="A14" s="13">
        <v>46064</v>
      </c>
      <c r="B14" s="14" t="s">
        <v>8</v>
      </c>
      <c r="C14" s="15">
        <v>3014</v>
      </c>
      <c r="D14" s="16">
        <f t="shared" ref="D14:D16" si="1">+C14-C13</f>
        <v>8</v>
      </c>
      <c r="E14" s="17" t="s">
        <v>43</v>
      </c>
      <c r="F14" s="15" t="s">
        <v>42</v>
      </c>
      <c r="G14" s="10"/>
      <c r="H14" s="11"/>
      <c r="I14" s="12"/>
    </row>
    <row r="15" spans="1:9" ht="87.75" customHeight="1" x14ac:dyDescent="0.25">
      <c r="A15" s="13">
        <v>46065</v>
      </c>
      <c r="B15" s="14" t="s">
        <v>8</v>
      </c>
      <c r="C15" s="15">
        <v>3022</v>
      </c>
      <c r="D15" s="16">
        <f t="shared" si="1"/>
        <v>8</v>
      </c>
      <c r="E15" s="17"/>
      <c r="F15" s="15"/>
      <c r="G15" s="10"/>
      <c r="H15" s="11"/>
      <c r="I15" s="12"/>
    </row>
    <row r="16" spans="1:9" ht="87.75" customHeight="1" x14ac:dyDescent="0.25">
      <c r="A16" s="13">
        <v>46066</v>
      </c>
      <c r="B16" s="14" t="s">
        <v>8</v>
      </c>
      <c r="C16" s="15"/>
      <c r="D16" s="16">
        <f t="shared" si="1"/>
        <v>-3022</v>
      </c>
      <c r="E16" s="17"/>
      <c r="F16" s="15"/>
      <c r="G16" s="10"/>
      <c r="H16" s="11"/>
      <c r="I16" s="12"/>
    </row>
    <row r="17" spans="1:9" ht="87.75" customHeight="1" x14ac:dyDescent="0.25">
      <c r="A17" s="13">
        <v>46067</v>
      </c>
      <c r="B17" s="18" t="s">
        <v>8</v>
      </c>
      <c r="C17" s="20"/>
      <c r="D17" s="21"/>
      <c r="E17" s="22"/>
      <c r="F17" s="23"/>
      <c r="G17" s="10"/>
      <c r="H17" s="11"/>
      <c r="I17" s="12"/>
    </row>
    <row r="18" spans="1:9" ht="87.75" customHeight="1" x14ac:dyDescent="0.25">
      <c r="A18" s="13">
        <v>46068</v>
      </c>
      <c r="B18" s="18" t="s">
        <v>8</v>
      </c>
      <c r="C18" s="20"/>
      <c r="D18" s="21"/>
      <c r="E18" s="22"/>
      <c r="F18" s="23"/>
      <c r="G18" s="10"/>
      <c r="H18" s="11"/>
      <c r="I18" s="12"/>
    </row>
    <row r="19" spans="1:9" ht="87.75" customHeight="1" x14ac:dyDescent="0.25">
      <c r="A19" s="13">
        <v>46069</v>
      </c>
      <c r="B19" s="14" t="s">
        <v>8</v>
      </c>
      <c r="C19" s="15"/>
      <c r="D19" s="16"/>
      <c r="E19" s="17"/>
      <c r="F19" s="15"/>
      <c r="G19" s="10"/>
      <c r="H19" s="97">
        <f>+SUM(D12:D16)</f>
        <v>-2988</v>
      </c>
      <c r="I19" s="12"/>
    </row>
    <row r="20" spans="1:9" ht="87.75" customHeight="1" x14ac:dyDescent="0.25">
      <c r="A20" s="13">
        <v>46070</v>
      </c>
      <c r="B20" s="14" t="s">
        <v>8</v>
      </c>
      <c r="C20" s="15"/>
      <c r="D20" s="16"/>
      <c r="E20" s="17"/>
      <c r="F20" s="15"/>
      <c r="G20" s="10"/>
      <c r="H20" s="11"/>
      <c r="I20" s="12"/>
    </row>
    <row r="21" spans="1:9" ht="87.75" customHeight="1" x14ac:dyDescent="0.25">
      <c r="A21" s="13">
        <v>46071</v>
      </c>
      <c r="B21" s="14" t="s">
        <v>8</v>
      </c>
      <c r="C21" s="15"/>
      <c r="D21" s="16"/>
      <c r="E21" s="17"/>
      <c r="F21" s="15"/>
      <c r="G21" s="10"/>
      <c r="H21" s="11"/>
      <c r="I21" s="12"/>
    </row>
    <row r="22" spans="1:9" s="25" customFormat="1" ht="87.75" customHeight="1" x14ac:dyDescent="0.25">
      <c r="A22" s="13">
        <v>46072</v>
      </c>
      <c r="B22" s="14" t="s">
        <v>8</v>
      </c>
      <c r="C22" s="15"/>
      <c r="D22" s="16"/>
      <c r="E22" s="17"/>
      <c r="F22" s="15"/>
      <c r="G22" s="10"/>
      <c r="H22" s="11"/>
      <c r="I22" s="24"/>
    </row>
    <row r="23" spans="1:9" ht="87.75" customHeight="1" x14ac:dyDescent="0.25">
      <c r="A23" s="13">
        <v>46073</v>
      </c>
      <c r="B23" s="14" t="s">
        <v>8</v>
      </c>
      <c r="C23" s="15"/>
      <c r="D23" s="16"/>
      <c r="E23" s="17"/>
      <c r="F23" s="15"/>
      <c r="G23" s="10"/>
      <c r="H23" s="11"/>
      <c r="I23" s="12"/>
    </row>
    <row r="24" spans="1:9" ht="87.75" customHeight="1" x14ac:dyDescent="0.25">
      <c r="A24" s="13">
        <v>46074</v>
      </c>
      <c r="B24" s="18" t="s">
        <v>8</v>
      </c>
      <c r="C24" s="20"/>
      <c r="D24" s="21"/>
      <c r="E24" s="22"/>
      <c r="F24" s="23"/>
      <c r="G24" s="10"/>
      <c r="H24" s="11"/>
      <c r="I24" s="12"/>
    </row>
    <row r="25" spans="1:9" ht="87.75" customHeight="1" x14ac:dyDescent="0.25">
      <c r="A25" s="13">
        <v>46075</v>
      </c>
      <c r="B25" s="18" t="s">
        <v>8</v>
      </c>
      <c r="C25" s="20"/>
      <c r="D25" s="21"/>
      <c r="E25" s="22"/>
      <c r="F25" s="23"/>
      <c r="G25" s="10"/>
      <c r="H25" s="11"/>
      <c r="I25" s="12"/>
    </row>
    <row r="26" spans="1:9" ht="87.75" customHeight="1" x14ac:dyDescent="0.25">
      <c r="A26" s="13">
        <v>46076</v>
      </c>
      <c r="B26" s="14" t="s">
        <v>8</v>
      </c>
      <c r="C26" s="15"/>
      <c r="D26" s="16"/>
      <c r="E26" s="17"/>
      <c r="F26" s="15"/>
      <c r="G26" s="10"/>
      <c r="H26" s="97">
        <f>+SUM(D19:D23)</f>
        <v>0</v>
      </c>
      <c r="I26" s="12"/>
    </row>
    <row r="27" spans="1:9" ht="87.75" customHeight="1" x14ac:dyDescent="0.25">
      <c r="A27" s="13">
        <v>46077</v>
      </c>
      <c r="B27" s="14" t="s">
        <v>8</v>
      </c>
      <c r="C27" s="15"/>
      <c r="D27" s="16"/>
      <c r="E27" s="17"/>
      <c r="F27" s="15"/>
      <c r="G27" s="10"/>
      <c r="H27" s="11"/>
      <c r="I27" s="12"/>
    </row>
    <row r="28" spans="1:9" ht="87.75" customHeight="1" x14ac:dyDescent="0.25">
      <c r="A28" s="13">
        <v>46078</v>
      </c>
      <c r="B28" s="14" t="s">
        <v>8</v>
      </c>
      <c r="C28" s="15"/>
      <c r="D28" s="16"/>
      <c r="E28" s="17"/>
      <c r="F28" s="15"/>
      <c r="G28" s="10"/>
      <c r="H28" s="11"/>
      <c r="I28" s="12"/>
    </row>
    <row r="29" spans="1:9" ht="87.75" customHeight="1" x14ac:dyDescent="0.25">
      <c r="A29" s="13">
        <v>46079</v>
      </c>
      <c r="B29" s="14" t="s">
        <v>8</v>
      </c>
      <c r="C29" s="15"/>
      <c r="D29" s="16"/>
      <c r="E29" s="17"/>
      <c r="F29" s="15"/>
      <c r="G29" s="10"/>
      <c r="H29" s="11"/>
      <c r="I29" s="26"/>
    </row>
    <row r="30" spans="1:9" ht="87.75" customHeight="1" x14ac:dyDescent="0.25">
      <c r="A30" s="13">
        <v>46080</v>
      </c>
      <c r="B30" s="14" t="s">
        <v>8</v>
      </c>
      <c r="C30" s="15"/>
      <c r="D30" s="15"/>
      <c r="E30" s="17"/>
      <c r="F30" s="15"/>
      <c r="G30" s="10"/>
      <c r="H30" s="11"/>
      <c r="I30" s="12"/>
    </row>
    <row r="31" spans="1:9" ht="63.75" customHeight="1" x14ac:dyDescent="0.25">
      <c r="A31" s="13">
        <v>46081</v>
      </c>
      <c r="B31" s="18" t="s">
        <v>8</v>
      </c>
      <c r="C31" s="20"/>
      <c r="D31" s="22"/>
      <c r="E31" s="22"/>
      <c r="F31" s="23"/>
      <c r="G31" s="10"/>
      <c r="H31" s="11"/>
      <c r="I31" s="12"/>
    </row>
    <row r="32" spans="1:9" ht="63.75" customHeight="1" x14ac:dyDescent="0.25">
      <c r="A32" s="13">
        <v>46082</v>
      </c>
      <c r="B32" s="18" t="s">
        <v>8</v>
      </c>
      <c r="C32" s="20"/>
      <c r="D32" s="21"/>
      <c r="E32" s="22"/>
      <c r="F32" s="23"/>
      <c r="G32" s="10"/>
      <c r="H32" s="11"/>
      <c r="I32" s="12"/>
    </row>
    <row r="33" spans="1:9" ht="63.75" customHeight="1" x14ac:dyDescent="0.25">
      <c r="A33" s="13"/>
      <c r="B33" s="98"/>
      <c r="C33" s="98"/>
      <c r="D33" s="98"/>
      <c r="E33" s="98"/>
      <c r="F33" s="98"/>
      <c r="G33" s="28"/>
      <c r="H33" s="97">
        <f>+SUM(D26:D30)</f>
        <v>0</v>
      </c>
      <c r="I33" s="12"/>
    </row>
    <row r="34" spans="1:9" ht="57.75" customHeight="1" thickBot="1" x14ac:dyDescent="0.3">
      <c r="A34" s="30"/>
      <c r="B34" s="30"/>
      <c r="C34" s="31" t="s">
        <v>2</v>
      </c>
      <c r="D34" s="32">
        <f>SUM(D5:D32)</f>
        <v>-2931</v>
      </c>
      <c r="E34" s="33"/>
      <c r="F34" s="34"/>
      <c r="G34" s="28"/>
      <c r="H34" s="35">
        <f>+SUM(H4:H33)</f>
        <v>-2931</v>
      </c>
      <c r="I34" s="12"/>
    </row>
    <row r="35" spans="1:9" ht="46.5" customHeight="1" x14ac:dyDescent="0.25">
      <c r="A35" s="121" t="s">
        <v>9</v>
      </c>
      <c r="B35" s="122"/>
      <c r="C35" s="122"/>
      <c r="D35" s="122"/>
      <c r="E35" s="122"/>
      <c r="F35" s="122"/>
      <c r="G35" s="122"/>
      <c r="H35" s="122"/>
      <c r="I35" s="123"/>
    </row>
    <row r="36" spans="1:9" ht="46.5" customHeight="1" x14ac:dyDescent="0.25">
      <c r="A36" s="124"/>
      <c r="B36" s="125"/>
      <c r="C36" s="125"/>
      <c r="D36" s="125"/>
      <c r="E36" s="125"/>
      <c r="F36" s="125"/>
      <c r="G36" s="125"/>
      <c r="H36" s="125"/>
      <c r="I36" s="126"/>
    </row>
    <row r="37" spans="1:9" ht="46.5" customHeight="1" x14ac:dyDescent="0.25">
      <c r="A37" s="124"/>
      <c r="B37" s="125"/>
      <c r="C37" s="125"/>
      <c r="D37" s="125"/>
      <c r="E37" s="125"/>
      <c r="F37" s="125"/>
      <c r="G37" s="125"/>
      <c r="H37" s="125"/>
      <c r="I37" s="126"/>
    </row>
    <row r="38" spans="1:9" ht="46.5" customHeight="1" x14ac:dyDescent="0.25">
      <c r="A38" s="124"/>
      <c r="B38" s="125"/>
      <c r="C38" s="125"/>
      <c r="D38" s="125"/>
      <c r="E38" s="125"/>
      <c r="F38" s="125"/>
      <c r="G38" s="125"/>
      <c r="H38" s="125"/>
      <c r="I38" s="126"/>
    </row>
    <row r="39" spans="1:9" ht="46.5" customHeight="1" x14ac:dyDescent="0.25">
      <c r="A39" s="124"/>
      <c r="B39" s="125"/>
      <c r="C39" s="125"/>
      <c r="D39" s="125"/>
      <c r="E39" s="125"/>
      <c r="F39" s="125"/>
      <c r="G39" s="125"/>
      <c r="H39" s="125"/>
      <c r="I39" s="126"/>
    </row>
    <row r="40" spans="1:9" ht="46.5" customHeight="1" thickBot="1" x14ac:dyDescent="0.3">
      <c r="A40" s="127"/>
      <c r="B40" s="128"/>
      <c r="C40" s="128"/>
      <c r="D40" s="128"/>
      <c r="E40" s="128"/>
      <c r="F40" s="128"/>
      <c r="G40" s="128"/>
      <c r="H40" s="128"/>
      <c r="I40" s="129"/>
    </row>
    <row r="53" spans="6:9" x14ac:dyDescent="0.7">
      <c r="F53" s="111"/>
      <c r="G53" s="111"/>
      <c r="H53" s="111"/>
      <c r="I53" s="111"/>
    </row>
  </sheetData>
  <mergeCells count="6">
    <mergeCell ref="F53:I53"/>
    <mergeCell ref="A1:F1"/>
    <mergeCell ref="H1:I1"/>
    <mergeCell ref="A2:I2"/>
    <mergeCell ref="A3:F3"/>
    <mergeCell ref="A35:I40"/>
  </mergeCells>
  <pageMargins left="0.7" right="0.7" top="0.75" bottom="0.75" header="0.3" footer="0.3"/>
  <pageSetup paperSize="9" scale="1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8668-2E34-4628-B3A5-41D4952A07D8}">
  <sheetPr>
    <tabColor rgb="FFFF0000"/>
    <pageSetUpPr fitToPage="1"/>
  </sheetPr>
  <dimension ref="A1:P40"/>
  <sheetViews>
    <sheetView topLeftCell="B5" zoomScale="55" zoomScaleNormal="55" workbookViewId="0">
      <selection activeCell="E16" sqref="E16"/>
    </sheetView>
  </sheetViews>
  <sheetFormatPr baseColWidth="10" defaultRowHeight="19.5" x14ac:dyDescent="0.3"/>
  <cols>
    <col min="1" max="1" width="29.42578125" customWidth="1"/>
    <col min="2" max="2" width="23.7109375" customWidth="1"/>
    <col min="3" max="3" width="29.7109375" style="39" customWidth="1"/>
    <col min="4" max="4" width="36" style="39" bestFit="1" customWidth="1"/>
    <col min="5" max="6" width="31.42578125" style="39" bestFit="1" customWidth="1"/>
    <col min="7" max="7" width="34.28515625" style="39" customWidth="1"/>
    <col min="8" max="8" width="28.7109375" style="39" bestFit="1" customWidth="1"/>
    <col min="9" max="9" width="25.28515625" style="39" bestFit="1" customWidth="1"/>
    <col min="10" max="10" width="35" bestFit="1" customWidth="1"/>
    <col min="11" max="11" width="17.140625" customWidth="1"/>
    <col min="12" max="12" width="1.85546875" customWidth="1"/>
    <col min="13" max="13" width="20.85546875" bestFit="1" customWidth="1"/>
    <col min="16" max="16" width="36.85546875" customWidth="1"/>
  </cols>
  <sheetData>
    <row r="1" spans="1:16" s="39" customFormat="1" ht="150" customHeight="1" thickBot="1" x14ac:dyDescent="0.35">
      <c r="A1" s="105" t="s">
        <v>35</v>
      </c>
      <c r="B1" s="106"/>
      <c r="C1" s="106"/>
      <c r="D1" s="106"/>
      <c r="E1" s="106"/>
      <c r="F1" s="106"/>
      <c r="G1" s="106"/>
      <c r="H1" s="106"/>
      <c r="I1" s="107"/>
      <c r="J1" s="108" t="s">
        <v>11</v>
      </c>
      <c r="K1" s="109"/>
      <c r="L1" s="110"/>
    </row>
    <row r="2" spans="1:16" ht="14.25" customHeight="1" x14ac:dyDescent="0.3">
      <c r="A2" s="40"/>
      <c r="C2" s="41"/>
      <c r="D2" s="41"/>
      <c r="E2" s="41"/>
      <c r="F2" s="41"/>
      <c r="G2" s="41"/>
      <c r="H2" s="41"/>
      <c r="I2" s="41"/>
      <c r="L2" s="42"/>
    </row>
    <row r="3" spans="1:16" ht="39.75" customHeight="1" x14ac:dyDescent="0.25">
      <c r="A3" s="99" t="s">
        <v>36</v>
      </c>
      <c r="B3" s="100"/>
      <c r="C3" s="43">
        <v>46020</v>
      </c>
      <c r="D3" s="43">
        <v>46021</v>
      </c>
      <c r="E3" s="43">
        <v>46022</v>
      </c>
      <c r="F3" s="43">
        <v>46023</v>
      </c>
      <c r="G3" s="43">
        <v>46024</v>
      </c>
      <c r="H3" s="43">
        <v>46025</v>
      </c>
      <c r="I3" s="43">
        <v>46026</v>
      </c>
      <c r="L3" s="42"/>
    </row>
    <row r="4" spans="1:16" ht="24" x14ac:dyDescent="0.25">
      <c r="A4" s="101"/>
      <c r="B4" s="102"/>
      <c r="C4" s="44" t="s">
        <v>12</v>
      </c>
      <c r="D4" s="44" t="s">
        <v>13</v>
      </c>
      <c r="E4" s="44" t="s">
        <v>14</v>
      </c>
      <c r="F4" s="45" t="s">
        <v>15</v>
      </c>
      <c r="G4" s="45" t="s">
        <v>16</v>
      </c>
      <c r="H4" s="44" t="s">
        <v>17</v>
      </c>
      <c r="I4" s="44" t="s">
        <v>18</v>
      </c>
      <c r="L4" s="42"/>
    </row>
    <row r="5" spans="1:16" ht="73.5" customHeight="1" x14ac:dyDescent="0.25">
      <c r="A5" s="46" t="s">
        <v>19</v>
      </c>
      <c r="B5" s="47" t="s">
        <v>20</v>
      </c>
      <c r="C5" s="48">
        <v>2396573</v>
      </c>
      <c r="D5" s="48"/>
      <c r="E5" s="49"/>
      <c r="F5" s="70"/>
      <c r="G5" s="49"/>
      <c r="H5" s="49"/>
      <c r="I5" s="49"/>
      <c r="J5" s="50"/>
      <c r="L5" s="42"/>
      <c r="M5" s="50"/>
    </row>
    <row r="6" spans="1:16" ht="73.5" customHeight="1" x14ac:dyDescent="0.25">
      <c r="A6" s="46" t="s">
        <v>21</v>
      </c>
      <c r="B6" s="47" t="s">
        <v>22</v>
      </c>
      <c r="C6" s="48">
        <v>2301184</v>
      </c>
      <c r="D6" s="48"/>
      <c r="E6" s="49"/>
      <c r="F6" s="70"/>
      <c r="G6" s="49"/>
      <c r="H6" s="49"/>
      <c r="I6" s="49"/>
      <c r="L6" s="42"/>
      <c r="M6" s="50"/>
      <c r="O6" s="50"/>
      <c r="P6" s="50"/>
    </row>
    <row r="7" spans="1:16" ht="73.5" customHeight="1" x14ac:dyDescent="0.25">
      <c r="A7" s="46" t="s">
        <v>23</v>
      </c>
      <c r="B7" s="47" t="s">
        <v>24</v>
      </c>
      <c r="C7" s="48">
        <v>2337095</v>
      </c>
      <c r="D7" s="48"/>
      <c r="E7" s="49"/>
      <c r="F7" s="70"/>
      <c r="G7" s="49"/>
      <c r="H7" s="49"/>
      <c r="I7" s="49"/>
      <c r="J7" s="51"/>
      <c r="L7" s="42"/>
    </row>
    <row r="8" spans="1:16" ht="66.75" customHeight="1" x14ac:dyDescent="0.25">
      <c r="A8" s="103" t="s">
        <v>25</v>
      </c>
      <c r="B8" s="104"/>
      <c r="C8" s="52">
        <v>7327</v>
      </c>
      <c r="D8" s="52"/>
      <c r="E8" s="52"/>
      <c r="F8" s="71"/>
      <c r="G8" s="52"/>
      <c r="H8" s="52"/>
      <c r="I8" s="52">
        <f>+C13-C5+C14-C6+C15-C7</f>
        <v>9140</v>
      </c>
      <c r="J8" s="52">
        <f>SUM(C8:I8)</f>
        <v>16467</v>
      </c>
      <c r="K8" s="53" t="s">
        <v>11</v>
      </c>
      <c r="L8" s="42"/>
    </row>
    <row r="9" spans="1:16" ht="45.75" customHeight="1" x14ac:dyDescent="0.35">
      <c r="A9" s="54" t="s">
        <v>26</v>
      </c>
      <c r="B9" s="55">
        <v>0.29099999999999998</v>
      </c>
      <c r="C9" s="56">
        <v>2132.1569999999997</v>
      </c>
      <c r="D9" s="56"/>
      <c r="E9" s="56"/>
      <c r="F9" s="72"/>
      <c r="G9" s="56"/>
      <c r="H9" s="56"/>
      <c r="I9" s="56">
        <f>+I8*B9</f>
        <v>2659.74</v>
      </c>
      <c r="J9" s="56">
        <f>SUM(C9:I9)</f>
        <v>4791.896999999999</v>
      </c>
      <c r="K9" s="53" t="s">
        <v>27</v>
      </c>
      <c r="L9" s="42"/>
    </row>
    <row r="10" spans="1:16" ht="30.75" customHeight="1" x14ac:dyDescent="0.3">
      <c r="A10" s="57"/>
      <c r="B10" s="58"/>
      <c r="C10" s="59"/>
      <c r="D10" s="59"/>
      <c r="E10" s="59"/>
      <c r="F10" s="59"/>
      <c r="G10" s="59"/>
      <c r="H10" s="59"/>
      <c r="I10" s="59"/>
      <c r="J10" s="58"/>
      <c r="K10" s="58"/>
      <c r="L10" s="42"/>
    </row>
    <row r="11" spans="1:16" ht="21" customHeight="1" x14ac:dyDescent="0.25">
      <c r="A11" s="99" t="s">
        <v>37</v>
      </c>
      <c r="B11" s="100"/>
      <c r="C11" s="60">
        <v>46027</v>
      </c>
      <c r="D11" s="60">
        <v>46028</v>
      </c>
      <c r="E11" s="60">
        <v>46029</v>
      </c>
      <c r="F11" s="60">
        <v>46030</v>
      </c>
      <c r="G11" s="60">
        <v>46031</v>
      </c>
      <c r="H11" s="60">
        <v>46032</v>
      </c>
      <c r="I11" s="60">
        <v>46033</v>
      </c>
      <c r="L11" s="42"/>
    </row>
    <row r="12" spans="1:16" ht="29.25" customHeight="1" x14ac:dyDescent="0.25">
      <c r="A12" s="101"/>
      <c r="B12" s="102"/>
      <c r="C12" s="44" t="s">
        <v>28</v>
      </c>
      <c r="D12" s="44" t="s">
        <v>29</v>
      </c>
      <c r="E12" s="44" t="s">
        <v>30</v>
      </c>
      <c r="F12" s="44" t="s">
        <v>31</v>
      </c>
      <c r="G12" s="44" t="s">
        <v>32</v>
      </c>
      <c r="H12" s="44" t="s">
        <v>33</v>
      </c>
      <c r="I12" s="44" t="s">
        <v>34</v>
      </c>
      <c r="L12" s="42"/>
    </row>
    <row r="13" spans="1:16" ht="55.5" customHeight="1" x14ac:dyDescent="0.3">
      <c r="A13" s="46" t="s">
        <v>19</v>
      </c>
      <c r="B13" s="47" t="s">
        <v>20</v>
      </c>
      <c r="C13" s="48">
        <v>2400097</v>
      </c>
      <c r="D13" s="48">
        <v>2401835</v>
      </c>
      <c r="E13" s="48">
        <v>2404085</v>
      </c>
      <c r="F13" s="48">
        <v>2406454</v>
      </c>
      <c r="G13" s="48">
        <v>2409004</v>
      </c>
      <c r="H13" s="48"/>
      <c r="I13" s="48"/>
      <c r="J13" s="39"/>
      <c r="K13" s="39"/>
      <c r="L13" s="42"/>
    </row>
    <row r="14" spans="1:16" ht="55.5" customHeight="1" x14ac:dyDescent="0.3">
      <c r="A14" s="46" t="s">
        <v>21</v>
      </c>
      <c r="B14" s="47" t="s">
        <v>22</v>
      </c>
      <c r="C14" s="48">
        <v>2303907</v>
      </c>
      <c r="D14" s="48">
        <v>2305511</v>
      </c>
      <c r="E14" s="48">
        <v>2307648</v>
      </c>
      <c r="F14" s="48">
        <v>2309899</v>
      </c>
      <c r="G14" s="48">
        <v>2312339</v>
      </c>
      <c r="H14" s="48"/>
      <c r="I14" s="48"/>
      <c r="J14" s="39"/>
      <c r="K14" s="39"/>
      <c r="L14" s="42"/>
    </row>
    <row r="15" spans="1:16" ht="55.5" customHeight="1" x14ac:dyDescent="0.3">
      <c r="A15" s="46" t="s">
        <v>23</v>
      </c>
      <c r="B15" s="47" t="s">
        <v>24</v>
      </c>
      <c r="C15" s="48">
        <v>2339988</v>
      </c>
      <c r="D15" s="48">
        <v>2341578</v>
      </c>
      <c r="E15" s="48">
        <v>2343700</v>
      </c>
      <c r="F15" s="48">
        <v>2345938</v>
      </c>
      <c r="G15" s="48">
        <v>2348369</v>
      </c>
      <c r="H15" s="48"/>
      <c r="I15" s="48"/>
      <c r="J15" s="51"/>
      <c r="K15" s="39"/>
      <c r="L15" s="42"/>
    </row>
    <row r="16" spans="1:16" ht="48.75" customHeight="1" x14ac:dyDescent="0.25">
      <c r="A16" s="103" t="s">
        <v>25</v>
      </c>
      <c r="B16" s="104"/>
      <c r="C16" s="52">
        <f>+(C13-C5)+(C14-C6)+(C15-C7)</f>
        <v>9140</v>
      </c>
      <c r="D16" s="52">
        <f>+(D13-C13)+(D14-C14)+(D15-C15)</f>
        <v>4932</v>
      </c>
      <c r="E16" s="52">
        <f>+(E13-D13)+(E14-D14)+(E15-D15)</f>
        <v>6509</v>
      </c>
      <c r="F16" s="52">
        <f t="shared" ref="F16:G16" si="0">+(F13-E13)+(F14-E14)+(F15-E15)</f>
        <v>6858</v>
      </c>
      <c r="G16" s="52">
        <f t="shared" si="0"/>
        <v>7421</v>
      </c>
      <c r="H16" s="52"/>
      <c r="I16" s="52"/>
      <c r="J16" s="52">
        <f>SUM(C16:I16)</f>
        <v>34860</v>
      </c>
      <c r="K16" s="53" t="s">
        <v>11</v>
      </c>
      <c r="L16" s="42"/>
    </row>
    <row r="17" spans="1:16" ht="46.5" customHeight="1" x14ac:dyDescent="0.35">
      <c r="A17" s="54" t="s">
        <v>26</v>
      </c>
      <c r="B17" s="55">
        <v>0.29099999999999998</v>
      </c>
      <c r="C17" s="56">
        <f>+C16*$B$17</f>
        <v>2659.74</v>
      </c>
      <c r="D17" s="56">
        <f>+D16*$B$17</f>
        <v>1435.212</v>
      </c>
      <c r="E17" s="56">
        <f>+E16*$B$17</f>
        <v>1894.1189999999999</v>
      </c>
      <c r="F17" s="56">
        <f t="shared" ref="F17:G17" si="1">+F16*$B$17</f>
        <v>1995.6779999999999</v>
      </c>
      <c r="G17" s="56">
        <f t="shared" si="1"/>
        <v>2159.511</v>
      </c>
      <c r="H17" s="56"/>
      <c r="I17" s="56"/>
      <c r="J17" s="56">
        <f>SUM(C17:I17)</f>
        <v>10144.26</v>
      </c>
      <c r="K17" s="53" t="s">
        <v>27</v>
      </c>
      <c r="L17" s="42"/>
    </row>
    <row r="18" spans="1:16" ht="21.75" customHeight="1" x14ac:dyDescent="0.3">
      <c r="A18" s="40"/>
      <c r="L18" s="42"/>
    </row>
    <row r="19" spans="1:16" ht="47.25" customHeight="1" x14ac:dyDescent="0.25">
      <c r="A19" s="99" t="s">
        <v>38</v>
      </c>
      <c r="B19" s="100"/>
      <c r="C19" s="60">
        <v>46034</v>
      </c>
      <c r="D19" s="60">
        <v>46035</v>
      </c>
      <c r="E19" s="60">
        <v>46036</v>
      </c>
      <c r="F19" s="60">
        <v>46037</v>
      </c>
      <c r="G19" s="60">
        <v>46038</v>
      </c>
      <c r="H19" s="60">
        <v>46039</v>
      </c>
      <c r="I19" s="60">
        <v>46040</v>
      </c>
      <c r="L19" s="42"/>
    </row>
    <row r="20" spans="1:16" ht="47.25" customHeight="1" x14ac:dyDescent="0.25">
      <c r="A20" s="101"/>
      <c r="B20" s="102"/>
      <c r="C20" s="44" t="s">
        <v>28</v>
      </c>
      <c r="D20" s="44" t="s">
        <v>29</v>
      </c>
      <c r="E20" s="44" t="s">
        <v>30</v>
      </c>
      <c r="F20" s="44" t="s">
        <v>31</v>
      </c>
      <c r="G20" s="44" t="s">
        <v>32</v>
      </c>
      <c r="H20" s="44" t="s">
        <v>33</v>
      </c>
      <c r="I20" s="44" t="s">
        <v>34</v>
      </c>
      <c r="L20" s="42"/>
    </row>
    <row r="21" spans="1:16" ht="62.25" customHeight="1" x14ac:dyDescent="0.3">
      <c r="A21" s="46" t="s">
        <v>19</v>
      </c>
      <c r="B21" s="47" t="s">
        <v>20</v>
      </c>
      <c r="C21" s="48">
        <v>2412843</v>
      </c>
      <c r="D21" s="48">
        <v>2415439</v>
      </c>
      <c r="E21" s="49">
        <v>2418128</v>
      </c>
      <c r="F21" s="49">
        <v>2420842</v>
      </c>
      <c r="G21" s="49">
        <v>2423475</v>
      </c>
      <c r="H21" s="61"/>
      <c r="I21" s="61"/>
      <c r="J21" s="39"/>
      <c r="K21" s="39"/>
      <c r="L21" s="42"/>
    </row>
    <row r="22" spans="1:16" ht="62.25" customHeight="1" x14ac:dyDescent="0.3">
      <c r="A22" s="46" t="s">
        <v>21</v>
      </c>
      <c r="B22" s="47" t="s">
        <v>22</v>
      </c>
      <c r="C22" s="48">
        <v>2315727</v>
      </c>
      <c r="D22" s="48">
        <v>2318193</v>
      </c>
      <c r="E22" s="48">
        <v>2320747</v>
      </c>
      <c r="F22" s="49">
        <v>2323326</v>
      </c>
      <c r="G22" s="49">
        <v>2325810</v>
      </c>
      <c r="H22" s="61"/>
      <c r="I22" s="61"/>
      <c r="J22" s="39"/>
      <c r="K22" s="39"/>
      <c r="L22" s="42"/>
      <c r="P22" s="50"/>
    </row>
    <row r="23" spans="1:16" ht="62.25" customHeight="1" x14ac:dyDescent="0.3">
      <c r="A23" s="46" t="s">
        <v>23</v>
      </c>
      <c r="B23" s="47" t="s">
        <v>24</v>
      </c>
      <c r="C23" s="48">
        <v>2351999</v>
      </c>
      <c r="D23" s="48">
        <f>2466+C23</f>
        <v>2354465</v>
      </c>
      <c r="E23" s="49">
        <v>2357118</v>
      </c>
      <c r="F23" s="49">
        <v>2359790</v>
      </c>
      <c r="G23" s="49">
        <v>2362358</v>
      </c>
      <c r="H23" s="61"/>
      <c r="I23" s="61"/>
      <c r="J23" s="62"/>
      <c r="K23" s="63"/>
      <c r="L23" s="42"/>
    </row>
    <row r="24" spans="1:16" ht="48.75" customHeight="1" x14ac:dyDescent="0.25">
      <c r="A24" s="103" t="s">
        <v>25</v>
      </c>
      <c r="B24" s="104"/>
      <c r="C24" s="52">
        <f>(C21-G13)+(C22-G14)+(C23-G15)</f>
        <v>10857</v>
      </c>
      <c r="D24" s="52">
        <f>(D21-C21)+(D22-C22)+(D23-C23)</f>
        <v>7528</v>
      </c>
      <c r="E24" s="52">
        <f>(E21-D21)+(E22-D22)+(E23-D23)</f>
        <v>7896</v>
      </c>
      <c r="F24" s="52">
        <f>(F21-E21)+(F22-E22)+(F23-E23)</f>
        <v>7965</v>
      </c>
      <c r="G24" s="52">
        <f>(G21-F21)+(G22-F22)+(G23-F23)</f>
        <v>7685</v>
      </c>
      <c r="H24" s="52"/>
      <c r="I24" s="52"/>
      <c r="J24" s="52">
        <f>SUM(C24:I24)</f>
        <v>41931</v>
      </c>
      <c r="K24" s="53" t="s">
        <v>11</v>
      </c>
      <c r="L24" s="42"/>
    </row>
    <row r="25" spans="1:16" ht="46.5" customHeight="1" x14ac:dyDescent="0.35">
      <c r="A25" s="54" t="s">
        <v>26</v>
      </c>
      <c r="B25" s="55">
        <v>0.29099999999999998</v>
      </c>
      <c r="C25" s="56">
        <f>+C24*$B$17</f>
        <v>3159.3869999999997</v>
      </c>
      <c r="D25" s="56">
        <f t="shared" ref="D25:G25" si="2">+D24*$B$17</f>
        <v>2190.6479999999997</v>
      </c>
      <c r="E25" s="56">
        <f t="shared" si="2"/>
        <v>2297.7359999999999</v>
      </c>
      <c r="F25" s="56">
        <f t="shared" si="2"/>
        <v>2317.8150000000001</v>
      </c>
      <c r="G25" s="56">
        <f t="shared" si="2"/>
        <v>2236.335</v>
      </c>
      <c r="H25" s="56"/>
      <c r="I25" s="56"/>
      <c r="J25" s="56">
        <f>SUM(C25:I25)</f>
        <v>12201.920999999998</v>
      </c>
      <c r="K25" s="53" t="s">
        <v>27</v>
      </c>
      <c r="L25" s="42"/>
    </row>
    <row r="26" spans="1:16" ht="25.5" customHeight="1" thickBot="1" x14ac:dyDescent="0.35">
      <c r="A26" s="64"/>
      <c r="B26" s="65"/>
      <c r="C26" s="66"/>
      <c r="D26" s="66"/>
      <c r="E26" s="66"/>
      <c r="F26" s="66"/>
      <c r="G26" s="66"/>
      <c r="H26" s="66"/>
      <c r="I26" s="66"/>
      <c r="J26" s="65"/>
      <c r="K26" s="67"/>
      <c r="L26" s="68"/>
    </row>
    <row r="27" spans="1:16" ht="37.5" customHeight="1" x14ac:dyDescent="0.25">
      <c r="A27" s="99" t="s">
        <v>39</v>
      </c>
      <c r="B27" s="100"/>
      <c r="C27" s="60">
        <v>46041</v>
      </c>
      <c r="D27" s="60">
        <v>46042</v>
      </c>
      <c r="E27" s="60">
        <v>46043</v>
      </c>
      <c r="F27" s="60">
        <v>46044</v>
      </c>
      <c r="G27" s="60">
        <v>46045</v>
      </c>
      <c r="H27" s="60">
        <v>46046</v>
      </c>
      <c r="I27" s="60">
        <v>46047</v>
      </c>
      <c r="L27" s="42"/>
    </row>
    <row r="28" spans="1:16" ht="34.5" customHeight="1" x14ac:dyDescent="0.25">
      <c r="A28" s="101"/>
      <c r="B28" s="102"/>
      <c r="C28" s="44" t="s">
        <v>12</v>
      </c>
      <c r="D28" s="44" t="s">
        <v>13</v>
      </c>
      <c r="E28" s="44" t="s">
        <v>14</v>
      </c>
      <c r="F28" s="44" t="s">
        <v>15</v>
      </c>
      <c r="G28" s="44" t="s">
        <v>16</v>
      </c>
      <c r="H28" s="44" t="s">
        <v>17</v>
      </c>
      <c r="I28" s="44" t="s">
        <v>18</v>
      </c>
      <c r="L28" s="42"/>
    </row>
    <row r="29" spans="1:16" ht="102" customHeight="1" x14ac:dyDescent="0.3">
      <c r="A29" s="46" t="s">
        <v>19</v>
      </c>
      <c r="B29" s="47" t="s">
        <v>20</v>
      </c>
      <c r="C29" s="48">
        <v>2427679</v>
      </c>
      <c r="D29" s="48">
        <v>2430185</v>
      </c>
      <c r="E29" s="49">
        <v>2432564</v>
      </c>
      <c r="F29" s="49">
        <v>2435316</v>
      </c>
      <c r="G29" s="49">
        <v>2437863</v>
      </c>
      <c r="H29" s="48"/>
      <c r="I29" s="69"/>
      <c r="J29" s="39"/>
      <c r="K29" s="39"/>
      <c r="L29" s="42"/>
    </row>
    <row r="30" spans="1:16" ht="102" customHeight="1" x14ac:dyDescent="0.3">
      <c r="A30" s="46" t="s">
        <v>21</v>
      </c>
      <c r="B30" s="47" t="s">
        <v>22</v>
      </c>
      <c r="C30" s="48">
        <v>2329423</v>
      </c>
      <c r="D30" s="48">
        <v>2331794</v>
      </c>
      <c r="E30" s="48">
        <v>2334053</v>
      </c>
      <c r="F30" s="48">
        <v>2336653</v>
      </c>
      <c r="G30" s="48">
        <v>2339049</v>
      </c>
      <c r="H30" s="48"/>
      <c r="I30" s="69"/>
      <c r="J30" s="39"/>
      <c r="K30" s="39"/>
      <c r="L30" s="42"/>
    </row>
    <row r="31" spans="1:16" ht="102" customHeight="1" x14ac:dyDescent="0.3">
      <c r="A31" s="46" t="s">
        <v>23</v>
      </c>
      <c r="B31" s="47" t="s">
        <v>24</v>
      </c>
      <c r="C31" s="48">
        <v>2366252</v>
      </c>
      <c r="D31" s="48">
        <v>2368622</v>
      </c>
      <c r="E31" s="48">
        <v>2370855</v>
      </c>
      <c r="F31" s="48">
        <v>2373413</v>
      </c>
      <c r="G31" s="48">
        <v>2375781</v>
      </c>
      <c r="H31" s="48"/>
      <c r="I31" s="48"/>
      <c r="J31" s="39"/>
      <c r="K31" s="39"/>
      <c r="L31" s="42"/>
    </row>
    <row r="32" spans="1:16" ht="102" customHeight="1" x14ac:dyDescent="0.25">
      <c r="A32" s="103" t="s">
        <v>25</v>
      </c>
      <c r="B32" s="104"/>
      <c r="C32" s="52">
        <f>(C29-G21)+(C30-G22)+(C31-G23)</f>
        <v>11711</v>
      </c>
      <c r="D32" s="52">
        <f>(D29-C29)+(D30-C30)+(D31-C31)</f>
        <v>7247</v>
      </c>
      <c r="E32" s="52">
        <f>(E29-D29)+(E30-D30)+(E31-D31)</f>
        <v>6871</v>
      </c>
      <c r="F32" s="52">
        <f>(F29-E29)+(F30-E30)+(F31-E31)</f>
        <v>7910</v>
      </c>
      <c r="G32" s="52">
        <f>+(G29-F29)+(G30-F30)+(G31-F31)</f>
        <v>7311</v>
      </c>
      <c r="H32" s="52"/>
      <c r="I32" s="52"/>
      <c r="J32" s="52">
        <f>SUM(C32:I32)</f>
        <v>41050</v>
      </c>
      <c r="K32" s="53" t="s">
        <v>11</v>
      </c>
      <c r="L32" s="42"/>
    </row>
    <row r="33" spans="1:12" ht="102" customHeight="1" x14ac:dyDescent="0.35">
      <c r="A33" s="54" t="s">
        <v>26</v>
      </c>
      <c r="B33" s="55">
        <v>0.29099999999999998</v>
      </c>
      <c r="C33" s="56">
        <f>C32*0.291</f>
        <v>3407.9009999999998</v>
      </c>
      <c r="D33" s="56">
        <f>D32*0.291</f>
        <v>2108.877</v>
      </c>
      <c r="E33" s="56">
        <f t="shared" ref="E33:F33" si="3">E32*0.291</f>
        <v>1999.4609999999998</v>
      </c>
      <c r="F33" s="56">
        <f t="shared" si="3"/>
        <v>2301.81</v>
      </c>
      <c r="G33" s="56">
        <f>G32*0.291</f>
        <v>2127.5009999999997</v>
      </c>
      <c r="H33" s="56"/>
      <c r="I33" s="56"/>
      <c r="J33" s="56">
        <f>SUM(C33:I33)</f>
        <v>11945.55</v>
      </c>
      <c r="K33" s="53" t="s">
        <v>27</v>
      </c>
      <c r="L33" s="42"/>
    </row>
    <row r="34" spans="1:12" ht="37.5" customHeight="1" x14ac:dyDescent="0.25">
      <c r="A34" s="99" t="s">
        <v>40</v>
      </c>
      <c r="B34" s="100"/>
      <c r="C34" s="60">
        <v>46048</v>
      </c>
      <c r="D34" s="60">
        <v>46049</v>
      </c>
      <c r="E34" s="60">
        <v>46050</v>
      </c>
      <c r="F34" s="60">
        <v>46051</v>
      </c>
      <c r="G34" s="60">
        <v>46052</v>
      </c>
      <c r="H34" s="60">
        <v>46053</v>
      </c>
      <c r="I34" s="60">
        <v>46054</v>
      </c>
      <c r="L34" s="42"/>
    </row>
    <row r="35" spans="1:12" ht="45.75" customHeight="1" x14ac:dyDescent="0.25">
      <c r="A35" s="101"/>
      <c r="B35" s="102"/>
      <c r="C35" s="73" t="s">
        <v>12</v>
      </c>
      <c r="D35" s="73" t="s">
        <v>13</v>
      </c>
      <c r="E35" s="73" t="s">
        <v>14</v>
      </c>
      <c r="F35" s="73" t="s">
        <v>15</v>
      </c>
      <c r="G35" s="73" t="s">
        <v>16</v>
      </c>
      <c r="H35" s="73" t="s">
        <v>17</v>
      </c>
      <c r="I35" s="73" t="s">
        <v>18</v>
      </c>
      <c r="L35" s="42"/>
    </row>
    <row r="36" spans="1:12" ht="102" customHeight="1" x14ac:dyDescent="0.3">
      <c r="A36" s="46" t="s">
        <v>19</v>
      </c>
      <c r="B36" s="47" t="s">
        <v>20</v>
      </c>
      <c r="C36" s="48">
        <v>2441620</v>
      </c>
      <c r="D36" s="48">
        <v>2444556</v>
      </c>
      <c r="E36" s="49">
        <v>2447218</v>
      </c>
      <c r="F36" s="49">
        <v>2449868</v>
      </c>
      <c r="G36" s="49">
        <v>2452743</v>
      </c>
      <c r="H36" s="48"/>
      <c r="I36" s="69"/>
      <c r="J36" s="39"/>
      <c r="K36" s="39"/>
      <c r="L36" s="42"/>
    </row>
    <row r="37" spans="1:12" ht="102" customHeight="1" x14ac:dyDescent="0.3">
      <c r="A37" s="46" t="s">
        <v>21</v>
      </c>
      <c r="B37" s="47" t="s">
        <v>22</v>
      </c>
      <c r="C37" s="48">
        <v>2342213</v>
      </c>
      <c r="D37" s="48">
        <v>2344971</v>
      </c>
      <c r="E37" s="48">
        <v>2347486</v>
      </c>
      <c r="F37" s="48">
        <v>2349996</v>
      </c>
      <c r="G37" s="48">
        <v>2352684</v>
      </c>
      <c r="H37" s="48"/>
      <c r="I37" s="69"/>
      <c r="J37" s="39"/>
      <c r="K37" s="39"/>
      <c r="L37" s="42"/>
    </row>
    <row r="38" spans="1:12" ht="102" customHeight="1" x14ac:dyDescent="0.3">
      <c r="A38" s="46" t="s">
        <v>23</v>
      </c>
      <c r="B38" s="47" t="s">
        <v>24</v>
      </c>
      <c r="C38" s="48">
        <v>2379281</v>
      </c>
      <c r="D38" s="48">
        <v>2382085</v>
      </c>
      <c r="E38" s="48">
        <v>2384635</v>
      </c>
      <c r="F38" s="48">
        <v>2387151</v>
      </c>
      <c r="G38" s="48">
        <v>2389834</v>
      </c>
      <c r="H38" s="48"/>
      <c r="I38" s="69"/>
      <c r="J38" s="39"/>
      <c r="K38" s="39"/>
      <c r="L38" s="42"/>
    </row>
    <row r="39" spans="1:12" ht="102" customHeight="1" x14ac:dyDescent="0.25">
      <c r="A39" s="103" t="s">
        <v>25</v>
      </c>
      <c r="B39" s="104"/>
      <c r="C39" s="52">
        <f>(C36-G29)+(C37-G30)+(C38-G31)</f>
        <v>10421</v>
      </c>
      <c r="D39" s="52">
        <f>(D36-C36)+(D37-C37)+(D38-C38)</f>
        <v>8498</v>
      </c>
      <c r="E39" s="52">
        <f t="shared" ref="E39:G39" si="4">(E36-D36)+(E37-D37)+(E38-D38)</f>
        <v>7727</v>
      </c>
      <c r="F39" s="52">
        <f t="shared" si="4"/>
        <v>7676</v>
      </c>
      <c r="G39" s="52">
        <f t="shared" si="4"/>
        <v>8246</v>
      </c>
      <c r="H39" s="52"/>
      <c r="I39" s="52"/>
      <c r="J39" s="52">
        <f>SUM(C39:I39)</f>
        <v>42568</v>
      </c>
      <c r="K39" s="53" t="s">
        <v>11</v>
      </c>
      <c r="L39" s="42"/>
    </row>
    <row r="40" spans="1:12" ht="102" customHeight="1" x14ac:dyDescent="0.35">
      <c r="A40" s="54" t="s">
        <v>26</v>
      </c>
      <c r="B40" s="55">
        <v>0.29099999999999998</v>
      </c>
      <c r="C40" s="56">
        <f>C39*0.291</f>
        <v>3032.511</v>
      </c>
      <c r="D40" s="56">
        <f t="shared" ref="D40:G40" si="5">D39*0.291</f>
        <v>2472.9179999999997</v>
      </c>
      <c r="E40" s="56">
        <f t="shared" si="5"/>
        <v>2248.5569999999998</v>
      </c>
      <c r="F40" s="56">
        <f t="shared" si="5"/>
        <v>2233.7159999999999</v>
      </c>
      <c r="G40" s="56">
        <f t="shared" si="5"/>
        <v>2399.5859999999998</v>
      </c>
      <c r="H40" s="56"/>
      <c r="I40" s="56"/>
      <c r="J40" s="56">
        <f>SUM(C40:I40)</f>
        <v>12387.287999999999</v>
      </c>
      <c r="K40" s="53" t="s">
        <v>27</v>
      </c>
      <c r="L40" s="42"/>
    </row>
  </sheetData>
  <mergeCells count="12">
    <mergeCell ref="A39:B39"/>
    <mergeCell ref="A1:I1"/>
    <mergeCell ref="J1:L1"/>
    <mergeCell ref="A3:B4"/>
    <mergeCell ref="A8:B8"/>
    <mergeCell ref="A11:B12"/>
    <mergeCell ref="A16:B16"/>
    <mergeCell ref="A19:B20"/>
    <mergeCell ref="A24:B24"/>
    <mergeCell ref="A27:B28"/>
    <mergeCell ref="A32:B32"/>
    <mergeCell ref="A34:B35"/>
  </mergeCells>
  <printOptions horizontalCentered="1"/>
  <pageMargins left="0" right="0" top="0.74803149606299213" bottom="0.74803149606299213" header="0.31496062992125984" footer="0.31496062992125984"/>
  <pageSetup paperSize="9" scale="2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0961-513C-4355-9A90-B6E08AA0560A}">
  <sheetPr>
    <tabColor rgb="FFFF0000"/>
    <pageSetUpPr fitToPage="1"/>
  </sheetPr>
  <dimension ref="A1:P33"/>
  <sheetViews>
    <sheetView topLeftCell="A8" zoomScale="70" zoomScaleNormal="70" workbookViewId="0">
      <selection activeCell="F16" sqref="F16"/>
    </sheetView>
  </sheetViews>
  <sheetFormatPr baseColWidth="10" defaultRowHeight="19.5" x14ac:dyDescent="0.3"/>
  <cols>
    <col min="1" max="1" width="29.42578125" customWidth="1"/>
    <col min="2" max="2" width="23.7109375" customWidth="1"/>
    <col min="3" max="3" width="29.7109375" style="39" customWidth="1"/>
    <col min="4" max="4" width="36" style="39" bestFit="1" customWidth="1"/>
    <col min="5" max="6" width="31.42578125" style="39" bestFit="1" customWidth="1"/>
    <col min="7" max="7" width="34.28515625" style="39" customWidth="1"/>
    <col min="8" max="8" width="28.7109375" style="39" bestFit="1" customWidth="1"/>
    <col min="9" max="9" width="25.28515625" style="39" bestFit="1" customWidth="1"/>
    <col min="10" max="10" width="35" bestFit="1" customWidth="1"/>
    <col min="11" max="11" width="17.140625" customWidth="1"/>
    <col min="12" max="12" width="1.85546875" customWidth="1"/>
    <col min="13" max="13" width="20.85546875" bestFit="1" customWidth="1"/>
    <col min="16" max="16" width="36.85546875" customWidth="1"/>
  </cols>
  <sheetData>
    <row r="1" spans="1:16" s="39" customFormat="1" ht="150" customHeight="1" thickBot="1" x14ac:dyDescent="0.35">
      <c r="A1" s="105" t="s">
        <v>115</v>
      </c>
      <c r="B1" s="106"/>
      <c r="C1" s="106"/>
      <c r="D1" s="106"/>
      <c r="E1" s="106"/>
      <c r="F1" s="106"/>
      <c r="G1" s="106"/>
      <c r="H1" s="106"/>
      <c r="I1" s="107"/>
      <c r="J1" s="108" t="s">
        <v>11</v>
      </c>
      <c r="K1" s="109"/>
      <c r="L1" s="110"/>
    </row>
    <row r="2" spans="1:16" ht="14.25" customHeight="1" x14ac:dyDescent="0.3">
      <c r="A2" s="40"/>
      <c r="C2" s="41"/>
      <c r="D2" s="41"/>
      <c r="E2" s="41"/>
      <c r="F2" s="41"/>
      <c r="G2" s="41"/>
      <c r="H2" s="41"/>
      <c r="I2" s="41"/>
      <c r="L2" s="42"/>
    </row>
    <row r="3" spans="1:16" ht="39.75" customHeight="1" x14ac:dyDescent="0.25">
      <c r="A3" s="99" t="s">
        <v>36</v>
      </c>
      <c r="B3" s="100"/>
      <c r="C3" s="43">
        <v>46055</v>
      </c>
      <c r="D3" s="43">
        <v>46056</v>
      </c>
      <c r="E3" s="43">
        <v>46057</v>
      </c>
      <c r="F3" s="43">
        <v>46058</v>
      </c>
      <c r="G3" s="43">
        <v>46059</v>
      </c>
      <c r="H3" s="43">
        <v>46060</v>
      </c>
      <c r="I3" s="43">
        <v>46061</v>
      </c>
      <c r="L3" s="42"/>
    </row>
    <row r="4" spans="1:16" ht="24" x14ac:dyDescent="0.25">
      <c r="A4" s="101"/>
      <c r="B4" s="102"/>
      <c r="C4" s="44" t="s">
        <v>12</v>
      </c>
      <c r="D4" s="44" t="s">
        <v>13</v>
      </c>
      <c r="E4" s="44" t="s">
        <v>14</v>
      </c>
      <c r="F4" s="45" t="s">
        <v>15</v>
      </c>
      <c r="G4" s="45" t="s">
        <v>16</v>
      </c>
      <c r="H4" s="44" t="s">
        <v>17</v>
      </c>
      <c r="I4" s="44" t="s">
        <v>18</v>
      </c>
      <c r="L4" s="42"/>
    </row>
    <row r="5" spans="1:16" ht="73.5" customHeight="1" x14ac:dyDescent="0.25">
      <c r="A5" s="46" t="s">
        <v>19</v>
      </c>
      <c r="B5" s="47" t="s">
        <v>20</v>
      </c>
      <c r="C5" s="48">
        <v>2458648</v>
      </c>
      <c r="D5" s="48">
        <v>2461146</v>
      </c>
      <c r="E5" s="49">
        <v>2464093</v>
      </c>
      <c r="F5" s="49">
        <v>2466827</v>
      </c>
      <c r="G5" s="49">
        <v>2469009</v>
      </c>
      <c r="H5" s="49"/>
      <c r="I5" s="49"/>
      <c r="J5" s="50"/>
      <c r="L5" s="42"/>
      <c r="M5" s="50"/>
    </row>
    <row r="6" spans="1:16" ht="73.5" customHeight="1" x14ac:dyDescent="0.25">
      <c r="A6" s="46" t="s">
        <v>21</v>
      </c>
      <c r="B6" s="47" t="s">
        <v>22</v>
      </c>
      <c r="C6" s="48">
        <v>2357935</v>
      </c>
      <c r="D6" s="48">
        <v>2360288</v>
      </c>
      <c r="E6" s="49">
        <v>2363097</v>
      </c>
      <c r="F6" s="49">
        <v>2365691</v>
      </c>
      <c r="G6" s="49">
        <v>2368700</v>
      </c>
      <c r="H6" s="49"/>
      <c r="I6" s="49"/>
      <c r="L6" s="42"/>
      <c r="M6" s="50"/>
      <c r="O6" s="50"/>
      <c r="P6" s="50"/>
    </row>
    <row r="7" spans="1:16" ht="73.5" customHeight="1" x14ac:dyDescent="0.25">
      <c r="A7" s="46" t="s">
        <v>23</v>
      </c>
      <c r="B7" s="47" t="s">
        <v>24</v>
      </c>
      <c r="C7" s="48">
        <v>2395313</v>
      </c>
      <c r="D7" s="48">
        <v>2397665</v>
      </c>
      <c r="E7" s="49">
        <v>2400485</v>
      </c>
      <c r="F7" s="49">
        <v>2403099</v>
      </c>
      <c r="G7" s="49">
        <v>2406110</v>
      </c>
      <c r="H7" s="49"/>
      <c r="I7" s="49"/>
      <c r="J7" s="51"/>
      <c r="L7" s="42"/>
    </row>
    <row r="8" spans="1:16" ht="66.75" customHeight="1" x14ac:dyDescent="0.25">
      <c r="A8" s="103" t="s">
        <v>25</v>
      </c>
      <c r="B8" s="104"/>
      <c r="C8" s="52">
        <f>+(C5-'KWH-01'!G36)+('KWH-02'!C6-'KWH-01'!G37)+('KWH-02'!C7-'KWH-01'!G38)</f>
        <v>16635</v>
      </c>
      <c r="D8" s="52">
        <f>+(D5-C5)+(D6-C6)+(D7-C7)</f>
        <v>7203</v>
      </c>
      <c r="E8" s="52">
        <f t="shared" ref="E8:G8" si="0">+(E5-D5)+(E6-D6)+(E7-D7)</f>
        <v>8576</v>
      </c>
      <c r="F8" s="52">
        <f t="shared" si="0"/>
        <v>7942</v>
      </c>
      <c r="G8" s="52">
        <f t="shared" si="0"/>
        <v>8202</v>
      </c>
      <c r="H8" s="52"/>
      <c r="I8" s="52"/>
      <c r="J8" s="52">
        <f>SUM(C8:I8)</f>
        <v>48558</v>
      </c>
      <c r="K8" s="53" t="s">
        <v>11</v>
      </c>
      <c r="L8" s="42"/>
    </row>
    <row r="9" spans="1:16" ht="45.75" customHeight="1" x14ac:dyDescent="0.35">
      <c r="A9" s="54" t="s">
        <v>26</v>
      </c>
      <c r="B9" s="55">
        <v>0.29099999999999998</v>
      </c>
      <c r="C9" s="56">
        <f>+C8*0.291</f>
        <v>4840.7849999999999</v>
      </c>
      <c r="D9" s="56">
        <f t="shared" ref="D9:G9" si="1">+D8*0.291</f>
        <v>2096.0729999999999</v>
      </c>
      <c r="E9" s="56">
        <f t="shared" si="1"/>
        <v>2495.616</v>
      </c>
      <c r="F9" s="56">
        <f t="shared" si="1"/>
        <v>2311.1219999999998</v>
      </c>
      <c r="G9" s="56">
        <f t="shared" si="1"/>
        <v>2386.7819999999997</v>
      </c>
      <c r="H9" s="56"/>
      <c r="I9" s="56"/>
      <c r="J9" s="56">
        <f>SUM(C9:I9)</f>
        <v>14130.377999999999</v>
      </c>
      <c r="K9" s="53" t="s">
        <v>27</v>
      </c>
      <c r="L9" s="42"/>
    </row>
    <row r="10" spans="1:16" ht="30.75" customHeight="1" x14ac:dyDescent="0.3">
      <c r="A10" s="57"/>
      <c r="B10" s="58"/>
      <c r="C10" s="59"/>
      <c r="D10" s="59"/>
      <c r="E10" s="59"/>
      <c r="F10" s="59"/>
      <c r="G10" s="59"/>
      <c r="H10" s="59"/>
      <c r="I10" s="59"/>
      <c r="J10" s="58"/>
      <c r="K10" s="58"/>
      <c r="L10" s="42"/>
    </row>
    <row r="11" spans="1:16" ht="21" customHeight="1" x14ac:dyDescent="0.25">
      <c r="A11" s="99" t="s">
        <v>37</v>
      </c>
      <c r="B11" s="100"/>
      <c r="C11" s="43">
        <v>46062</v>
      </c>
      <c r="D11" s="43">
        <v>46063</v>
      </c>
      <c r="E11" s="43">
        <v>46064</v>
      </c>
      <c r="F11" s="43">
        <v>46065</v>
      </c>
      <c r="G11" s="43">
        <v>46066</v>
      </c>
      <c r="H11" s="43">
        <v>46067</v>
      </c>
      <c r="I11" s="43">
        <v>46068</v>
      </c>
      <c r="L11" s="42"/>
    </row>
    <row r="12" spans="1:16" ht="29.25" customHeight="1" x14ac:dyDescent="0.25">
      <c r="A12" s="101"/>
      <c r="B12" s="102"/>
      <c r="C12" s="44" t="s">
        <v>28</v>
      </c>
      <c r="D12" s="44" t="s">
        <v>29</v>
      </c>
      <c r="E12" s="44" t="s">
        <v>30</v>
      </c>
      <c r="F12" s="44" t="s">
        <v>31</v>
      </c>
      <c r="G12" s="44" t="s">
        <v>32</v>
      </c>
      <c r="H12" s="44" t="s">
        <v>33</v>
      </c>
      <c r="I12" s="44" t="s">
        <v>34</v>
      </c>
      <c r="L12" s="42"/>
    </row>
    <row r="13" spans="1:16" ht="55.5" customHeight="1" x14ac:dyDescent="0.3">
      <c r="A13" s="46" t="s">
        <v>19</v>
      </c>
      <c r="B13" s="47" t="s">
        <v>20</v>
      </c>
      <c r="C13" s="48">
        <v>2474396</v>
      </c>
      <c r="D13" s="48">
        <v>2477083</v>
      </c>
      <c r="E13" s="48">
        <v>2479951</v>
      </c>
      <c r="F13" s="48">
        <v>2482532</v>
      </c>
      <c r="G13" s="48"/>
      <c r="H13" s="48"/>
      <c r="I13" s="48"/>
      <c r="J13" s="39"/>
      <c r="K13" s="39"/>
      <c r="L13" s="42"/>
    </row>
    <row r="14" spans="1:16" ht="55.5" customHeight="1" x14ac:dyDescent="0.3">
      <c r="A14" s="46" t="s">
        <v>21</v>
      </c>
      <c r="B14" s="47" t="s">
        <v>22</v>
      </c>
      <c r="C14" s="48">
        <v>2372552</v>
      </c>
      <c r="D14" s="48">
        <v>2375136</v>
      </c>
      <c r="E14" s="48">
        <v>2377887</v>
      </c>
      <c r="F14" s="48">
        <v>2380351</v>
      </c>
      <c r="G14" s="48"/>
      <c r="H14" s="48"/>
      <c r="I14" s="48"/>
      <c r="J14" s="39"/>
      <c r="K14" s="39"/>
      <c r="L14" s="42"/>
    </row>
    <row r="15" spans="1:16" ht="55.5" customHeight="1" x14ac:dyDescent="0.3">
      <c r="A15" s="46" t="s">
        <v>23</v>
      </c>
      <c r="B15" s="47" t="s">
        <v>24</v>
      </c>
      <c r="C15" s="48">
        <v>2410114</v>
      </c>
      <c r="D15" s="48">
        <v>2412673</v>
      </c>
      <c r="E15" s="48">
        <v>2415419</v>
      </c>
      <c r="F15" s="48">
        <v>2417876</v>
      </c>
      <c r="G15" s="48"/>
      <c r="H15" s="48"/>
      <c r="I15" s="48"/>
      <c r="J15" s="51"/>
      <c r="K15" s="39"/>
      <c r="L15" s="42"/>
    </row>
    <row r="16" spans="1:16" ht="48.75" customHeight="1" x14ac:dyDescent="0.25">
      <c r="A16" s="103" t="s">
        <v>25</v>
      </c>
      <c r="B16" s="104"/>
      <c r="C16" s="52">
        <f>+(C13-G5)+(C14-G6)+(C15-G7)</f>
        <v>13243</v>
      </c>
      <c r="D16" s="52">
        <f>+(D13-C13)+(D14-C14)+(D15-C15)</f>
        <v>7830</v>
      </c>
      <c r="E16" s="52">
        <f>+(E13-D13)+(E14-D14)+(E15-D15)</f>
        <v>8365</v>
      </c>
      <c r="F16" s="52">
        <f t="shared" ref="F16:G16" si="2">+(F13-E13)+(F14-E14)+(F15-E15)</f>
        <v>7502</v>
      </c>
      <c r="G16" s="52">
        <f t="shared" si="2"/>
        <v>-7280759</v>
      </c>
      <c r="H16" s="52"/>
      <c r="I16" s="52"/>
      <c r="J16" s="52">
        <f>SUM(C16:I16)</f>
        <v>-7243819</v>
      </c>
      <c r="K16" s="53" t="s">
        <v>11</v>
      </c>
      <c r="L16" s="42"/>
    </row>
    <row r="17" spans="1:16" ht="46.5" customHeight="1" x14ac:dyDescent="0.35">
      <c r="A17" s="54" t="s">
        <v>26</v>
      </c>
      <c r="B17" s="55">
        <v>0.29099999999999998</v>
      </c>
      <c r="C17" s="56">
        <f>+C16*$B$17</f>
        <v>3853.7129999999997</v>
      </c>
      <c r="D17" s="56">
        <f>+D16*$B$17</f>
        <v>2278.5299999999997</v>
      </c>
      <c r="E17" s="56">
        <f>+E16*$B$17</f>
        <v>2434.2149999999997</v>
      </c>
      <c r="F17" s="56">
        <f t="shared" ref="F17:G17" si="3">+F16*$B$17</f>
        <v>2183.0819999999999</v>
      </c>
      <c r="G17" s="56">
        <f t="shared" si="3"/>
        <v>-2118700.8689999999</v>
      </c>
      <c r="H17" s="56"/>
      <c r="I17" s="56"/>
      <c r="J17" s="56">
        <f>SUM(C17:I17)</f>
        <v>-2107951.3289999999</v>
      </c>
      <c r="K17" s="53" t="s">
        <v>27</v>
      </c>
      <c r="L17" s="42"/>
    </row>
    <row r="18" spans="1:16" ht="21.75" customHeight="1" x14ac:dyDescent="0.3">
      <c r="A18" s="40"/>
      <c r="L18" s="42"/>
    </row>
    <row r="19" spans="1:16" ht="47.25" customHeight="1" x14ac:dyDescent="0.25">
      <c r="A19" s="99" t="s">
        <v>38</v>
      </c>
      <c r="B19" s="100"/>
      <c r="C19" s="43">
        <v>46069</v>
      </c>
      <c r="D19" s="43">
        <v>46070</v>
      </c>
      <c r="E19" s="43">
        <v>46071</v>
      </c>
      <c r="F19" s="43">
        <v>46072</v>
      </c>
      <c r="G19" s="43">
        <v>46073</v>
      </c>
      <c r="H19" s="43">
        <v>46074</v>
      </c>
      <c r="I19" s="43">
        <v>46075</v>
      </c>
      <c r="L19" s="42"/>
    </row>
    <row r="20" spans="1:16" ht="47.25" customHeight="1" x14ac:dyDescent="0.25">
      <c r="A20" s="101"/>
      <c r="B20" s="102"/>
      <c r="C20" s="44" t="s">
        <v>28</v>
      </c>
      <c r="D20" s="44" t="s">
        <v>29</v>
      </c>
      <c r="E20" s="44" t="s">
        <v>30</v>
      </c>
      <c r="F20" s="44" t="s">
        <v>31</v>
      </c>
      <c r="G20" s="44" t="s">
        <v>32</v>
      </c>
      <c r="H20" s="44" t="s">
        <v>33</v>
      </c>
      <c r="I20" s="44" t="s">
        <v>34</v>
      </c>
      <c r="L20" s="42"/>
    </row>
    <row r="21" spans="1:16" ht="62.25" customHeight="1" x14ac:dyDescent="0.3">
      <c r="A21" s="46" t="s">
        <v>19</v>
      </c>
      <c r="B21" s="47" t="s">
        <v>20</v>
      </c>
      <c r="C21" s="48"/>
      <c r="D21" s="48"/>
      <c r="E21" s="49"/>
      <c r="F21" s="49"/>
      <c r="G21" s="49"/>
      <c r="H21" s="61"/>
      <c r="I21" s="61"/>
      <c r="J21" s="39"/>
      <c r="K21" s="39"/>
      <c r="L21" s="42"/>
    </row>
    <row r="22" spans="1:16" ht="62.25" customHeight="1" x14ac:dyDescent="0.3">
      <c r="A22" s="46" t="s">
        <v>21</v>
      </c>
      <c r="B22" s="47" t="s">
        <v>22</v>
      </c>
      <c r="C22" s="48"/>
      <c r="D22" s="48"/>
      <c r="E22" s="48"/>
      <c r="F22" s="49"/>
      <c r="G22" s="49"/>
      <c r="H22" s="61"/>
      <c r="I22" s="61"/>
      <c r="J22" s="39"/>
      <c r="K22" s="39"/>
      <c r="L22" s="42"/>
      <c r="P22" s="50"/>
    </row>
    <row r="23" spans="1:16" ht="62.25" customHeight="1" x14ac:dyDescent="0.3">
      <c r="A23" s="46" t="s">
        <v>23</v>
      </c>
      <c r="B23" s="47" t="s">
        <v>24</v>
      </c>
      <c r="C23" s="48"/>
      <c r="D23" s="48"/>
      <c r="E23" s="49"/>
      <c r="F23" s="49"/>
      <c r="G23" s="49"/>
      <c r="H23" s="61"/>
      <c r="I23" s="61"/>
      <c r="J23" s="62"/>
      <c r="K23" s="63"/>
      <c r="L23" s="42"/>
    </row>
    <row r="24" spans="1:16" ht="48.75" customHeight="1" x14ac:dyDescent="0.25">
      <c r="A24" s="103" t="s">
        <v>25</v>
      </c>
      <c r="B24" s="104"/>
      <c r="C24" s="52">
        <f>(C21-G13)+(C22-G14)+(C23-G15)</f>
        <v>0</v>
      </c>
      <c r="D24" s="52">
        <f>(D21-C21)+(D22-C22)+(D23-C23)</f>
        <v>0</v>
      </c>
      <c r="E24" s="52">
        <f>(E21-D21)+(E22-D22)+(E23-D23)</f>
        <v>0</v>
      </c>
      <c r="F24" s="52">
        <f>(F21-E21)+(F22-E22)+(F23-E23)</f>
        <v>0</v>
      </c>
      <c r="G24" s="52">
        <f>(G21-F21)+(G22-F22)+(G23-F23)</f>
        <v>0</v>
      </c>
      <c r="H24" s="52"/>
      <c r="I24" s="52"/>
      <c r="J24" s="52">
        <f>SUM(C24:I24)</f>
        <v>0</v>
      </c>
      <c r="K24" s="53" t="s">
        <v>11</v>
      </c>
      <c r="L24" s="42"/>
    </row>
    <row r="25" spans="1:16" ht="46.5" customHeight="1" x14ac:dyDescent="0.35">
      <c r="A25" s="54" t="s">
        <v>26</v>
      </c>
      <c r="B25" s="55">
        <v>0.29099999999999998</v>
      </c>
      <c r="C25" s="56">
        <f>+C24*$B$17</f>
        <v>0</v>
      </c>
      <c r="D25" s="56">
        <f t="shared" ref="D25:G25" si="4">+D24*$B$17</f>
        <v>0</v>
      </c>
      <c r="E25" s="56">
        <f t="shared" si="4"/>
        <v>0</v>
      </c>
      <c r="F25" s="56">
        <f t="shared" si="4"/>
        <v>0</v>
      </c>
      <c r="G25" s="56">
        <f t="shared" si="4"/>
        <v>0</v>
      </c>
      <c r="H25" s="56"/>
      <c r="I25" s="56"/>
      <c r="J25" s="56">
        <f>SUM(C25:I25)</f>
        <v>0</v>
      </c>
      <c r="K25" s="53" t="s">
        <v>27</v>
      </c>
      <c r="L25" s="42"/>
    </row>
    <row r="26" spans="1:16" ht="25.5" customHeight="1" thickBot="1" x14ac:dyDescent="0.35">
      <c r="A26" s="64"/>
      <c r="B26" s="65"/>
      <c r="C26" s="66"/>
      <c r="D26" s="66"/>
      <c r="E26" s="66"/>
      <c r="F26" s="66"/>
      <c r="G26" s="66"/>
      <c r="H26" s="66"/>
      <c r="I26" s="66"/>
      <c r="J26" s="65"/>
      <c r="K26" s="67"/>
      <c r="L26" s="68"/>
    </row>
    <row r="27" spans="1:16" ht="37.5" customHeight="1" x14ac:dyDescent="0.25">
      <c r="A27" s="99" t="s">
        <v>39</v>
      </c>
      <c r="B27" s="100"/>
      <c r="C27" s="43">
        <v>46076</v>
      </c>
      <c r="D27" s="43">
        <v>46077</v>
      </c>
      <c r="E27" s="43">
        <v>46078</v>
      </c>
      <c r="F27" s="43">
        <v>46079</v>
      </c>
      <c r="G27" s="43">
        <v>46080</v>
      </c>
      <c r="H27" s="43">
        <v>46081</v>
      </c>
      <c r="I27" s="43">
        <v>46082</v>
      </c>
      <c r="L27" s="42"/>
    </row>
    <row r="28" spans="1:16" ht="34.5" customHeight="1" x14ac:dyDescent="0.25">
      <c r="A28" s="101"/>
      <c r="B28" s="102"/>
      <c r="C28" s="44" t="s">
        <v>12</v>
      </c>
      <c r="D28" s="44" t="s">
        <v>13</v>
      </c>
      <c r="E28" s="44" t="s">
        <v>14</v>
      </c>
      <c r="F28" s="44" t="s">
        <v>15</v>
      </c>
      <c r="G28" s="44" t="s">
        <v>16</v>
      </c>
      <c r="H28" s="44" t="s">
        <v>17</v>
      </c>
      <c r="I28" s="44" t="s">
        <v>18</v>
      </c>
      <c r="L28" s="42"/>
    </row>
    <row r="29" spans="1:16" ht="102" customHeight="1" x14ac:dyDescent="0.3">
      <c r="A29" s="46" t="s">
        <v>19</v>
      </c>
      <c r="B29" s="47" t="s">
        <v>20</v>
      </c>
      <c r="C29" s="48"/>
      <c r="D29" s="48"/>
      <c r="E29" s="49"/>
      <c r="F29" s="49"/>
      <c r="G29" s="49"/>
      <c r="H29" s="48"/>
      <c r="I29" s="69"/>
      <c r="J29" s="39"/>
      <c r="K29" s="39"/>
      <c r="L29" s="42"/>
    </row>
    <row r="30" spans="1:16" ht="102" customHeight="1" x14ac:dyDescent="0.3">
      <c r="A30" s="46" t="s">
        <v>21</v>
      </c>
      <c r="B30" s="47" t="s">
        <v>22</v>
      </c>
      <c r="C30" s="48"/>
      <c r="D30" s="48"/>
      <c r="E30" s="48"/>
      <c r="F30" s="48"/>
      <c r="G30" s="48"/>
      <c r="H30" s="48"/>
      <c r="I30" s="69"/>
      <c r="J30" s="39"/>
      <c r="K30" s="39"/>
      <c r="L30" s="42"/>
    </row>
    <row r="31" spans="1:16" ht="102" customHeight="1" x14ac:dyDescent="0.3">
      <c r="A31" s="46" t="s">
        <v>23</v>
      </c>
      <c r="B31" s="47" t="s">
        <v>24</v>
      </c>
      <c r="C31" s="48"/>
      <c r="D31" s="48"/>
      <c r="E31" s="48"/>
      <c r="F31" s="48"/>
      <c r="G31" s="48"/>
      <c r="H31" s="48"/>
      <c r="I31" s="48"/>
      <c r="J31" s="39"/>
      <c r="K31" s="39"/>
      <c r="L31" s="42"/>
    </row>
    <row r="32" spans="1:16" ht="102" customHeight="1" x14ac:dyDescent="0.25">
      <c r="A32" s="103" t="s">
        <v>25</v>
      </c>
      <c r="B32" s="104"/>
      <c r="C32" s="52">
        <f>(C29-G21)+(C30-G22)+(C31-G23)</f>
        <v>0</v>
      </c>
      <c r="D32" s="52">
        <f>(D29-C29)+(D30-C30)+(D31-C31)</f>
        <v>0</v>
      </c>
      <c r="E32" s="52">
        <f>(E29-D29)+(E30-D30)+(E31-D31)</f>
        <v>0</v>
      </c>
      <c r="F32" s="52">
        <f>(F29-E29)+(F30-E30)+(F31-E31)</f>
        <v>0</v>
      </c>
      <c r="G32" s="52">
        <f>+(G29-F29)+(G30-F30)+(G31-F31)</f>
        <v>0</v>
      </c>
      <c r="H32" s="52"/>
      <c r="I32" s="52"/>
      <c r="J32" s="52">
        <f>SUM(C32:I32)</f>
        <v>0</v>
      </c>
      <c r="K32" s="53" t="s">
        <v>11</v>
      </c>
      <c r="L32" s="42"/>
    </row>
    <row r="33" spans="1:12" ht="102" customHeight="1" x14ac:dyDescent="0.35">
      <c r="A33" s="54" t="s">
        <v>26</v>
      </c>
      <c r="B33" s="55">
        <v>0.29099999999999998</v>
      </c>
      <c r="C33" s="56">
        <f>C32*0.291</f>
        <v>0</v>
      </c>
      <c r="D33" s="56">
        <f>D32*0.291</f>
        <v>0</v>
      </c>
      <c r="E33" s="56">
        <f t="shared" ref="E33:F33" si="5">E32*0.291</f>
        <v>0</v>
      </c>
      <c r="F33" s="56">
        <f t="shared" si="5"/>
        <v>0</v>
      </c>
      <c r="G33" s="56">
        <f>G32*0.291</f>
        <v>0</v>
      </c>
      <c r="H33" s="56"/>
      <c r="I33" s="56"/>
      <c r="J33" s="56">
        <f>SUM(C33:I33)</f>
        <v>0</v>
      </c>
      <c r="K33" s="53" t="s">
        <v>27</v>
      </c>
      <c r="L33" s="42"/>
    </row>
  </sheetData>
  <mergeCells count="10">
    <mergeCell ref="J1:L1"/>
    <mergeCell ref="A3:B4"/>
    <mergeCell ref="A8:B8"/>
    <mergeCell ref="A11:B12"/>
    <mergeCell ref="A16:B16"/>
    <mergeCell ref="A19:B20"/>
    <mergeCell ref="A24:B24"/>
    <mergeCell ref="A27:B28"/>
    <mergeCell ref="A32:B32"/>
    <mergeCell ref="A1:I1"/>
  </mergeCells>
  <phoneticPr fontId="19" type="noConversion"/>
  <printOptions horizontalCentered="1"/>
  <pageMargins left="0" right="0" top="0.74803149606299213" bottom="0.74803149606299213" header="0.31496062992125984" footer="0.31496062992125984"/>
  <pageSetup paperSize="9" scale="3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3E52-A22C-4FF5-967E-0577E582476E}">
  <sheetPr>
    <tabColor rgb="FFFFFF00"/>
  </sheetPr>
  <dimension ref="A3:H66"/>
  <sheetViews>
    <sheetView topLeftCell="A3" zoomScale="70" zoomScaleNormal="70" workbookViewId="0">
      <pane xSplit="1" ySplit="3" topLeftCell="B6" activePane="bottomRight" state="frozen"/>
      <selection activeCell="A3" sqref="A3"/>
      <selection pane="topRight" activeCell="B3" sqref="B3"/>
      <selection pane="bottomLeft" activeCell="A6" sqref="A6"/>
      <selection pane="bottomRight" activeCell="D26" sqref="D26"/>
    </sheetView>
  </sheetViews>
  <sheetFormatPr baseColWidth="10" defaultRowHeight="15" x14ac:dyDescent="0.25"/>
  <cols>
    <col min="1" max="1" width="23.7109375" customWidth="1"/>
    <col min="2" max="4" width="14.85546875" customWidth="1"/>
    <col min="5" max="5" width="1.5703125" customWidth="1"/>
    <col min="6" max="6" width="14.85546875" style="84" customWidth="1"/>
    <col min="7" max="8" width="14.85546875" customWidth="1"/>
  </cols>
  <sheetData>
    <row r="3" spans="1:8" ht="54" customHeight="1" x14ac:dyDescent="0.25">
      <c r="A3" s="130" t="s">
        <v>98</v>
      </c>
      <c r="B3" s="131"/>
      <c r="C3" s="131"/>
      <c r="D3" s="131"/>
      <c r="E3" s="131"/>
      <c r="F3" s="131"/>
      <c r="G3" s="131"/>
      <c r="H3" s="132"/>
    </row>
    <row r="4" spans="1:8" s="37" customFormat="1" ht="25.9" customHeight="1" x14ac:dyDescent="0.25">
      <c r="A4" s="75"/>
      <c r="B4" s="133" t="s">
        <v>46</v>
      </c>
      <c r="C4" s="133"/>
      <c r="D4" s="133"/>
      <c r="E4" s="76"/>
      <c r="F4" s="134" t="s">
        <v>47</v>
      </c>
      <c r="G4" s="134"/>
      <c r="H4" s="134"/>
    </row>
    <row r="5" spans="1:8" s="37" customFormat="1" ht="22.9" customHeight="1" x14ac:dyDescent="0.25">
      <c r="A5" s="77" t="s">
        <v>48</v>
      </c>
      <c r="B5" s="77" t="s">
        <v>49</v>
      </c>
      <c r="C5" s="77" t="s">
        <v>50</v>
      </c>
      <c r="D5" s="77" t="s">
        <v>51</v>
      </c>
      <c r="E5" s="78"/>
      <c r="F5" s="77" t="s">
        <v>52</v>
      </c>
      <c r="G5" s="77" t="s">
        <v>50</v>
      </c>
      <c r="H5" s="77" t="s">
        <v>51</v>
      </c>
    </row>
    <row r="6" spans="1:8" ht="19.5" x14ac:dyDescent="0.25">
      <c r="A6" s="80" t="s">
        <v>91</v>
      </c>
      <c r="B6" s="80">
        <v>47</v>
      </c>
      <c r="C6" s="81">
        <v>2.2999999999999998</v>
      </c>
      <c r="D6" s="82">
        <f t="shared" ref="D6:D11" si="0">+B6*C6</f>
        <v>108.1</v>
      </c>
      <c r="E6" s="79"/>
      <c r="F6" s="83">
        <v>45544</v>
      </c>
      <c r="G6" s="81">
        <v>0.29099999999999998</v>
      </c>
      <c r="H6" s="83">
        <f t="shared" ref="H6:H16" si="1">+F6*G6</f>
        <v>13253.303999999998</v>
      </c>
    </row>
    <row r="7" spans="1:8" ht="19.5" x14ac:dyDescent="0.25">
      <c r="A7" s="80" t="s">
        <v>92</v>
      </c>
      <c r="B7" s="80">
        <v>52</v>
      </c>
      <c r="C7" s="81">
        <v>2.2999999999999998</v>
      </c>
      <c r="D7" s="82">
        <f t="shared" si="0"/>
        <v>119.6</v>
      </c>
      <c r="E7" s="79"/>
      <c r="F7" s="83">
        <v>41939</v>
      </c>
      <c r="G7" s="81">
        <v>0.29099999999999998</v>
      </c>
      <c r="H7" s="83">
        <f t="shared" si="1"/>
        <v>12204.249</v>
      </c>
    </row>
    <row r="8" spans="1:8" ht="19.5" x14ac:dyDescent="0.25">
      <c r="A8" s="80" t="s">
        <v>93</v>
      </c>
      <c r="B8" s="80">
        <v>49</v>
      </c>
      <c r="C8" s="81">
        <v>2.2999999999999998</v>
      </c>
      <c r="D8" s="82">
        <f t="shared" si="0"/>
        <v>112.69999999999999</v>
      </c>
      <c r="E8" s="79"/>
      <c r="F8" s="83">
        <v>41433</v>
      </c>
      <c r="G8" s="81">
        <v>0.29099999999999998</v>
      </c>
      <c r="H8" s="83">
        <f t="shared" si="1"/>
        <v>12057.002999999999</v>
      </c>
    </row>
    <row r="9" spans="1:8" ht="19.5" x14ac:dyDescent="0.25">
      <c r="A9" s="80" t="s">
        <v>94</v>
      </c>
      <c r="B9" s="80">
        <v>49</v>
      </c>
      <c r="C9" s="81">
        <v>2.2999999999999998</v>
      </c>
      <c r="D9" s="82">
        <f t="shared" si="0"/>
        <v>112.69999999999999</v>
      </c>
      <c r="E9" s="79"/>
      <c r="F9" s="83">
        <v>41264</v>
      </c>
      <c r="G9" s="81">
        <v>0.29099999999999998</v>
      </c>
      <c r="H9" s="83">
        <f t="shared" si="1"/>
        <v>12007.823999999999</v>
      </c>
    </row>
    <row r="10" spans="1:8" ht="19.5" x14ac:dyDescent="0.25">
      <c r="A10" s="80" t="s">
        <v>95</v>
      </c>
      <c r="B10" s="80">
        <v>47</v>
      </c>
      <c r="C10" s="81">
        <v>2.2999999999999998</v>
      </c>
      <c r="D10" s="82">
        <f t="shared" si="0"/>
        <v>108.1</v>
      </c>
      <c r="E10" s="79"/>
      <c r="F10" s="83">
        <v>39619</v>
      </c>
      <c r="G10" s="81">
        <v>0.29099999999999998</v>
      </c>
      <c r="H10" s="83">
        <f t="shared" si="1"/>
        <v>11529.128999999999</v>
      </c>
    </row>
    <row r="11" spans="1:8" ht="19.5" x14ac:dyDescent="0.25">
      <c r="A11" s="80" t="s">
        <v>96</v>
      </c>
      <c r="B11" s="80">
        <v>42</v>
      </c>
      <c r="C11" s="81">
        <v>2.2999999999999998</v>
      </c>
      <c r="D11" s="82">
        <f t="shared" si="0"/>
        <v>96.6</v>
      </c>
      <c r="E11" s="79"/>
      <c r="F11" s="83">
        <v>36175</v>
      </c>
      <c r="G11" s="81">
        <v>0.29099999999999998</v>
      </c>
      <c r="H11" s="83">
        <f t="shared" si="1"/>
        <v>10526.924999999999</v>
      </c>
    </row>
    <row r="12" spans="1:8" ht="19.5" x14ac:dyDescent="0.25">
      <c r="A12" s="80" t="s">
        <v>97</v>
      </c>
      <c r="B12" s="80">
        <v>45</v>
      </c>
      <c r="C12" s="81">
        <v>2.2999999999999998</v>
      </c>
      <c r="D12" s="82">
        <f>+B12*C12</f>
        <v>103.49999999999999</v>
      </c>
      <c r="E12" s="79"/>
      <c r="F12" s="83">
        <v>32901</v>
      </c>
      <c r="G12" s="81">
        <v>0.29099999999999998</v>
      </c>
      <c r="H12" s="83">
        <f t="shared" si="1"/>
        <v>9574.1909999999989</v>
      </c>
    </row>
    <row r="13" spans="1:8" ht="19.5" x14ac:dyDescent="0.25">
      <c r="A13" s="80" t="s">
        <v>114</v>
      </c>
      <c r="B13" s="80">
        <v>48</v>
      </c>
      <c r="C13" s="81">
        <v>2.2999999999999998</v>
      </c>
      <c r="D13" s="82">
        <f t="shared" ref="D13" si="2">+B13*C13</f>
        <v>110.39999999999999</v>
      </c>
      <c r="E13" s="79"/>
      <c r="F13" s="83">
        <v>38959</v>
      </c>
      <c r="G13" s="81">
        <v>0.29099999999999998</v>
      </c>
      <c r="H13" s="83">
        <f t="shared" si="1"/>
        <v>11337.069</v>
      </c>
    </row>
    <row r="14" spans="1:8" ht="19.5" x14ac:dyDescent="0.25">
      <c r="A14" s="91" t="s">
        <v>100</v>
      </c>
      <c r="B14" s="91">
        <v>4</v>
      </c>
      <c r="C14" s="92">
        <v>2.2999999999999998</v>
      </c>
      <c r="D14" s="93">
        <f t="shared" ref="D14:D64" si="3">+B14*C14</f>
        <v>9.1999999999999993</v>
      </c>
      <c r="E14" s="79"/>
      <c r="F14" s="95">
        <v>16467</v>
      </c>
      <c r="G14" s="92">
        <v>0.29099999999999998</v>
      </c>
      <c r="H14" s="95">
        <f t="shared" si="1"/>
        <v>4791.8969999999999</v>
      </c>
    </row>
    <row r="15" spans="1:8" ht="19.5" x14ac:dyDescent="0.25">
      <c r="A15" s="91" t="s">
        <v>101</v>
      </c>
      <c r="B15" s="91">
        <v>30</v>
      </c>
      <c r="C15" s="92">
        <v>2.2999999999999998</v>
      </c>
      <c r="D15" s="93">
        <f t="shared" si="3"/>
        <v>69</v>
      </c>
      <c r="E15" s="79"/>
      <c r="F15" s="95">
        <v>43860</v>
      </c>
      <c r="G15" s="92">
        <v>0.29099999999999998</v>
      </c>
      <c r="H15" s="95">
        <f t="shared" si="1"/>
        <v>12763.259999999998</v>
      </c>
    </row>
    <row r="16" spans="1:8" ht="19.5" x14ac:dyDescent="0.25">
      <c r="A16" s="91" t="s">
        <v>102</v>
      </c>
      <c r="B16" s="91">
        <v>49</v>
      </c>
      <c r="C16" s="92">
        <v>2.2999999999999998</v>
      </c>
      <c r="D16" s="93">
        <f t="shared" si="3"/>
        <v>112.69999999999999</v>
      </c>
      <c r="E16" s="79"/>
      <c r="F16" s="95">
        <v>41931</v>
      </c>
      <c r="G16" s="92">
        <v>0.29099999999999998</v>
      </c>
      <c r="H16" s="95">
        <f t="shared" si="1"/>
        <v>12201.920999999998</v>
      </c>
    </row>
    <row r="17" spans="1:8" ht="19.5" x14ac:dyDescent="0.25">
      <c r="A17" s="91" t="s">
        <v>103</v>
      </c>
      <c r="B17" s="91">
        <v>42</v>
      </c>
      <c r="C17" s="92">
        <v>2.2999999999999998</v>
      </c>
      <c r="D17" s="93">
        <f t="shared" ref="D17" si="4">+B17*C17</f>
        <v>96.6</v>
      </c>
      <c r="E17" s="79"/>
      <c r="F17" s="95">
        <v>41050</v>
      </c>
      <c r="G17" s="92">
        <v>0.29099999999999998</v>
      </c>
      <c r="H17" s="95">
        <f t="shared" ref="H17" si="5">+F17*G17</f>
        <v>11945.55</v>
      </c>
    </row>
    <row r="18" spans="1:8" ht="19.5" x14ac:dyDescent="0.25">
      <c r="A18" s="91" t="s">
        <v>104</v>
      </c>
      <c r="B18" s="91">
        <v>0</v>
      </c>
      <c r="C18" s="92"/>
      <c r="D18" s="93">
        <f t="shared" si="3"/>
        <v>0</v>
      </c>
      <c r="E18" s="79"/>
      <c r="F18" s="95"/>
      <c r="G18" s="92"/>
      <c r="H18" s="95">
        <f t="shared" ref="H18:H64" si="6">+F18*G18</f>
        <v>0</v>
      </c>
    </row>
    <row r="19" spans="1:8" ht="19.5" x14ac:dyDescent="0.25">
      <c r="A19" s="91" t="s">
        <v>105</v>
      </c>
      <c r="B19" s="91">
        <v>0</v>
      </c>
      <c r="C19" s="92"/>
      <c r="D19" s="93">
        <f t="shared" si="3"/>
        <v>0</v>
      </c>
      <c r="E19" s="79"/>
      <c r="F19" s="95"/>
      <c r="G19" s="92"/>
      <c r="H19" s="95">
        <f t="shared" si="6"/>
        <v>0</v>
      </c>
    </row>
    <row r="20" spans="1:8" ht="19.5" x14ac:dyDescent="0.25">
      <c r="A20" s="91" t="s">
        <v>106</v>
      </c>
      <c r="B20" s="91">
        <v>0</v>
      </c>
      <c r="C20" s="92"/>
      <c r="D20" s="93">
        <f t="shared" si="3"/>
        <v>0</v>
      </c>
      <c r="E20" s="79"/>
      <c r="F20" s="95"/>
      <c r="G20" s="92"/>
      <c r="H20" s="95">
        <f t="shared" si="6"/>
        <v>0</v>
      </c>
    </row>
    <row r="21" spans="1:8" ht="19.5" x14ac:dyDescent="0.25">
      <c r="A21" s="91" t="s">
        <v>107</v>
      </c>
      <c r="B21" s="91">
        <v>0</v>
      </c>
      <c r="C21" s="92"/>
      <c r="D21" s="93">
        <f t="shared" si="3"/>
        <v>0</v>
      </c>
      <c r="E21" s="79"/>
      <c r="F21" s="95"/>
      <c r="G21" s="92"/>
      <c r="H21" s="95">
        <f t="shared" si="6"/>
        <v>0</v>
      </c>
    </row>
    <row r="22" spans="1:8" ht="19.5" x14ac:dyDescent="0.25">
      <c r="A22" s="91" t="s">
        <v>108</v>
      </c>
      <c r="B22" s="91">
        <v>0</v>
      </c>
      <c r="C22" s="92"/>
      <c r="D22" s="93">
        <f t="shared" si="3"/>
        <v>0</v>
      </c>
      <c r="E22" s="79"/>
      <c r="F22" s="95"/>
      <c r="G22" s="92"/>
      <c r="H22" s="95">
        <f t="shared" si="6"/>
        <v>0</v>
      </c>
    </row>
    <row r="23" spans="1:8" ht="19.5" x14ac:dyDescent="0.25">
      <c r="A23" s="91" t="s">
        <v>109</v>
      </c>
      <c r="B23" s="91">
        <v>0</v>
      </c>
      <c r="C23" s="92"/>
      <c r="D23" s="93">
        <f t="shared" si="3"/>
        <v>0</v>
      </c>
      <c r="E23" s="79"/>
      <c r="F23" s="95"/>
      <c r="G23" s="92"/>
      <c r="H23" s="95">
        <f t="shared" si="6"/>
        <v>0</v>
      </c>
    </row>
    <row r="24" spans="1:8" ht="19.5" x14ac:dyDescent="0.25">
      <c r="A24" s="91" t="s">
        <v>110</v>
      </c>
      <c r="B24" s="91">
        <v>0</v>
      </c>
      <c r="C24" s="92"/>
      <c r="D24" s="93">
        <f t="shared" si="3"/>
        <v>0</v>
      </c>
      <c r="E24" s="79"/>
      <c r="F24" s="95"/>
      <c r="G24" s="92"/>
      <c r="H24" s="95">
        <f t="shared" si="6"/>
        <v>0</v>
      </c>
    </row>
    <row r="25" spans="1:8" ht="19.5" x14ac:dyDescent="0.25">
      <c r="A25" s="91" t="s">
        <v>111</v>
      </c>
      <c r="B25" s="91">
        <v>0</v>
      </c>
      <c r="C25" s="92"/>
      <c r="D25" s="93">
        <f t="shared" si="3"/>
        <v>0</v>
      </c>
      <c r="E25" s="79"/>
      <c r="F25" s="95"/>
      <c r="G25" s="92"/>
      <c r="H25" s="95">
        <f t="shared" si="6"/>
        <v>0</v>
      </c>
    </row>
    <row r="26" spans="1:8" ht="19.5" x14ac:dyDescent="0.25">
      <c r="A26" s="91" t="s">
        <v>53</v>
      </c>
      <c r="B26" s="91">
        <v>0</v>
      </c>
      <c r="C26" s="92"/>
      <c r="D26" s="93">
        <f t="shared" si="3"/>
        <v>0</v>
      </c>
      <c r="E26" s="79"/>
      <c r="F26" s="95"/>
      <c r="G26" s="92"/>
      <c r="H26" s="95">
        <f t="shared" si="6"/>
        <v>0</v>
      </c>
    </row>
    <row r="27" spans="1:8" ht="19.5" x14ac:dyDescent="0.25">
      <c r="A27" s="91" t="s">
        <v>54</v>
      </c>
      <c r="B27" s="91">
        <v>0</v>
      </c>
      <c r="C27" s="92"/>
      <c r="D27" s="93">
        <f t="shared" si="3"/>
        <v>0</v>
      </c>
      <c r="E27" s="79"/>
      <c r="F27" s="95"/>
      <c r="G27" s="92"/>
      <c r="H27" s="95">
        <f t="shared" si="6"/>
        <v>0</v>
      </c>
    </row>
    <row r="28" spans="1:8" ht="19.5" x14ac:dyDescent="0.25">
      <c r="A28" s="91" t="s">
        <v>55</v>
      </c>
      <c r="B28" s="91">
        <v>0</v>
      </c>
      <c r="C28" s="92"/>
      <c r="D28" s="93">
        <f t="shared" si="3"/>
        <v>0</v>
      </c>
      <c r="E28" s="79"/>
      <c r="F28" s="95"/>
      <c r="G28" s="92"/>
      <c r="H28" s="95">
        <f t="shared" si="6"/>
        <v>0</v>
      </c>
    </row>
    <row r="29" spans="1:8" ht="19.5" x14ac:dyDescent="0.25">
      <c r="A29" s="91" t="s">
        <v>56</v>
      </c>
      <c r="B29" s="91">
        <v>0</v>
      </c>
      <c r="C29" s="92"/>
      <c r="D29" s="93">
        <f t="shared" si="3"/>
        <v>0</v>
      </c>
      <c r="E29" s="79"/>
      <c r="F29" s="95"/>
      <c r="G29" s="92"/>
      <c r="H29" s="95">
        <f t="shared" si="6"/>
        <v>0</v>
      </c>
    </row>
    <row r="30" spans="1:8" ht="19.5" x14ac:dyDescent="0.25">
      <c r="A30" s="91" t="s">
        <v>57</v>
      </c>
      <c r="B30" s="91">
        <v>0</v>
      </c>
      <c r="C30" s="92"/>
      <c r="D30" s="93">
        <f t="shared" si="3"/>
        <v>0</v>
      </c>
      <c r="E30" s="79"/>
      <c r="F30" s="95"/>
      <c r="G30" s="92"/>
      <c r="H30" s="95">
        <f t="shared" si="6"/>
        <v>0</v>
      </c>
    </row>
    <row r="31" spans="1:8" ht="19.5" x14ac:dyDescent="0.25">
      <c r="A31" s="91" t="s">
        <v>58</v>
      </c>
      <c r="B31" s="91">
        <v>0</v>
      </c>
      <c r="C31" s="92"/>
      <c r="D31" s="93">
        <f t="shared" si="3"/>
        <v>0</v>
      </c>
      <c r="E31" s="79"/>
      <c r="F31" s="95"/>
      <c r="G31" s="92"/>
      <c r="H31" s="95">
        <f t="shared" si="6"/>
        <v>0</v>
      </c>
    </row>
    <row r="32" spans="1:8" ht="19.5" x14ac:dyDescent="0.25">
      <c r="A32" s="91" t="s">
        <v>59</v>
      </c>
      <c r="B32" s="91">
        <v>0</v>
      </c>
      <c r="C32" s="92"/>
      <c r="D32" s="93">
        <f t="shared" si="3"/>
        <v>0</v>
      </c>
      <c r="E32" s="79"/>
      <c r="F32" s="95"/>
      <c r="G32" s="92"/>
      <c r="H32" s="95">
        <f t="shared" si="6"/>
        <v>0</v>
      </c>
    </row>
    <row r="33" spans="1:8" ht="19.5" x14ac:dyDescent="0.25">
      <c r="A33" s="91" t="s">
        <v>60</v>
      </c>
      <c r="B33" s="91">
        <v>0</v>
      </c>
      <c r="C33" s="92"/>
      <c r="D33" s="93">
        <f t="shared" si="3"/>
        <v>0</v>
      </c>
      <c r="E33" s="79"/>
      <c r="F33" s="95"/>
      <c r="G33" s="92"/>
      <c r="H33" s="95">
        <f t="shared" si="6"/>
        <v>0</v>
      </c>
    </row>
    <row r="34" spans="1:8" ht="19.5" x14ac:dyDescent="0.25">
      <c r="A34" s="91" t="s">
        <v>61</v>
      </c>
      <c r="B34" s="91">
        <v>0</v>
      </c>
      <c r="C34" s="92"/>
      <c r="D34" s="93">
        <f t="shared" si="3"/>
        <v>0</v>
      </c>
      <c r="E34" s="79"/>
      <c r="F34" s="95"/>
      <c r="G34" s="92"/>
      <c r="H34" s="95">
        <f t="shared" si="6"/>
        <v>0</v>
      </c>
    </row>
    <row r="35" spans="1:8" ht="19.5" x14ac:dyDescent="0.25">
      <c r="A35" s="91" t="s">
        <v>62</v>
      </c>
      <c r="B35" s="91">
        <v>0</v>
      </c>
      <c r="C35" s="92"/>
      <c r="D35" s="93">
        <f t="shared" si="3"/>
        <v>0</v>
      </c>
      <c r="E35" s="79"/>
      <c r="F35" s="95"/>
      <c r="G35" s="92"/>
      <c r="H35" s="95">
        <f t="shared" si="6"/>
        <v>0</v>
      </c>
    </row>
    <row r="36" spans="1:8" ht="19.5" x14ac:dyDescent="0.25">
      <c r="A36" s="91" t="s">
        <v>63</v>
      </c>
      <c r="B36" s="91">
        <v>0</v>
      </c>
      <c r="C36" s="92"/>
      <c r="D36" s="93">
        <f t="shared" si="3"/>
        <v>0</v>
      </c>
      <c r="E36" s="79"/>
      <c r="F36" s="95"/>
      <c r="G36" s="92"/>
      <c r="H36" s="95">
        <f t="shared" si="6"/>
        <v>0</v>
      </c>
    </row>
    <row r="37" spans="1:8" ht="19.5" x14ac:dyDescent="0.25">
      <c r="A37" s="91" t="s">
        <v>64</v>
      </c>
      <c r="B37" s="91">
        <v>0</v>
      </c>
      <c r="C37" s="92"/>
      <c r="D37" s="93">
        <f t="shared" si="3"/>
        <v>0</v>
      </c>
      <c r="E37" s="79"/>
      <c r="F37" s="95"/>
      <c r="G37" s="92"/>
      <c r="H37" s="95">
        <f t="shared" si="6"/>
        <v>0</v>
      </c>
    </row>
    <row r="38" spans="1:8" ht="19.5" x14ac:dyDescent="0.25">
      <c r="A38" s="91" t="s">
        <v>65</v>
      </c>
      <c r="B38" s="91">
        <v>0</v>
      </c>
      <c r="C38" s="92"/>
      <c r="D38" s="93">
        <f t="shared" si="3"/>
        <v>0</v>
      </c>
      <c r="E38" s="79"/>
      <c r="F38" s="95"/>
      <c r="G38" s="92"/>
      <c r="H38" s="95">
        <f t="shared" si="6"/>
        <v>0</v>
      </c>
    </row>
    <row r="39" spans="1:8" ht="19.5" x14ac:dyDescent="0.25">
      <c r="A39" s="91" t="s">
        <v>66</v>
      </c>
      <c r="B39" s="91">
        <v>0</v>
      </c>
      <c r="C39" s="92"/>
      <c r="D39" s="93">
        <f t="shared" si="3"/>
        <v>0</v>
      </c>
      <c r="E39" s="79"/>
      <c r="F39" s="95"/>
      <c r="G39" s="92"/>
      <c r="H39" s="95">
        <f t="shared" si="6"/>
        <v>0</v>
      </c>
    </row>
    <row r="40" spans="1:8" ht="19.5" x14ac:dyDescent="0.25">
      <c r="A40" s="91" t="s">
        <v>67</v>
      </c>
      <c r="B40" s="91">
        <v>0</v>
      </c>
      <c r="C40" s="92"/>
      <c r="D40" s="93">
        <f t="shared" si="3"/>
        <v>0</v>
      </c>
      <c r="E40" s="79"/>
      <c r="F40" s="95"/>
      <c r="G40" s="92"/>
      <c r="H40" s="95">
        <f t="shared" si="6"/>
        <v>0</v>
      </c>
    </row>
    <row r="41" spans="1:8" ht="19.5" x14ac:dyDescent="0.25">
      <c r="A41" s="91" t="s">
        <v>68</v>
      </c>
      <c r="B41" s="91">
        <v>0</v>
      </c>
      <c r="C41" s="92"/>
      <c r="D41" s="93">
        <f t="shared" si="3"/>
        <v>0</v>
      </c>
      <c r="E41" s="79"/>
      <c r="F41" s="95"/>
      <c r="G41" s="92"/>
      <c r="H41" s="95">
        <f t="shared" si="6"/>
        <v>0</v>
      </c>
    </row>
    <row r="42" spans="1:8" ht="19.5" x14ac:dyDescent="0.25">
      <c r="A42" s="91" t="s">
        <v>69</v>
      </c>
      <c r="B42" s="91">
        <v>0</v>
      </c>
      <c r="C42" s="92"/>
      <c r="D42" s="93">
        <f t="shared" si="3"/>
        <v>0</v>
      </c>
      <c r="E42" s="79"/>
      <c r="F42" s="95"/>
      <c r="G42" s="92"/>
      <c r="H42" s="95">
        <f t="shared" si="6"/>
        <v>0</v>
      </c>
    </row>
    <row r="43" spans="1:8" ht="19.5" x14ac:dyDescent="0.25">
      <c r="A43" s="91" t="s">
        <v>70</v>
      </c>
      <c r="B43" s="91">
        <v>0</v>
      </c>
      <c r="C43" s="92"/>
      <c r="D43" s="93">
        <f t="shared" si="3"/>
        <v>0</v>
      </c>
      <c r="E43" s="79"/>
      <c r="F43" s="95"/>
      <c r="G43" s="92"/>
      <c r="H43" s="95">
        <f t="shared" si="6"/>
        <v>0</v>
      </c>
    </row>
    <row r="44" spans="1:8" ht="19.5" x14ac:dyDescent="0.25">
      <c r="A44" s="91" t="s">
        <v>71</v>
      </c>
      <c r="B44" s="91">
        <v>0</v>
      </c>
      <c r="C44" s="92"/>
      <c r="D44" s="93">
        <f t="shared" si="3"/>
        <v>0</v>
      </c>
      <c r="E44" s="79"/>
      <c r="F44" s="95"/>
      <c r="G44" s="92"/>
      <c r="H44" s="95">
        <f t="shared" si="6"/>
        <v>0</v>
      </c>
    </row>
    <row r="45" spans="1:8" ht="19.5" x14ac:dyDescent="0.25">
      <c r="A45" s="91" t="s">
        <v>72</v>
      </c>
      <c r="B45" s="91">
        <v>0</v>
      </c>
      <c r="C45" s="92"/>
      <c r="D45" s="93">
        <f t="shared" si="3"/>
        <v>0</v>
      </c>
      <c r="E45" s="79"/>
      <c r="F45" s="95"/>
      <c r="G45" s="92"/>
      <c r="H45" s="95">
        <f t="shared" si="6"/>
        <v>0</v>
      </c>
    </row>
    <row r="46" spans="1:8" ht="19.5" x14ac:dyDescent="0.25">
      <c r="A46" s="91" t="s">
        <v>73</v>
      </c>
      <c r="B46" s="91">
        <v>0</v>
      </c>
      <c r="C46" s="92"/>
      <c r="D46" s="93">
        <f t="shared" si="3"/>
        <v>0</v>
      </c>
      <c r="E46" s="79"/>
      <c r="F46" s="95"/>
      <c r="G46" s="92"/>
      <c r="H46" s="95">
        <f t="shared" si="6"/>
        <v>0</v>
      </c>
    </row>
    <row r="47" spans="1:8" ht="19.5" x14ac:dyDescent="0.25">
      <c r="A47" s="91" t="s">
        <v>74</v>
      </c>
      <c r="B47" s="91">
        <v>0</v>
      </c>
      <c r="C47" s="92"/>
      <c r="D47" s="93">
        <f t="shared" si="3"/>
        <v>0</v>
      </c>
      <c r="E47" s="79"/>
      <c r="F47" s="95"/>
      <c r="G47" s="92"/>
      <c r="H47" s="95">
        <f t="shared" si="6"/>
        <v>0</v>
      </c>
    </row>
    <row r="48" spans="1:8" ht="19.5" x14ac:dyDescent="0.25">
      <c r="A48" s="91" t="s">
        <v>75</v>
      </c>
      <c r="B48" s="91">
        <v>0</v>
      </c>
      <c r="C48" s="92"/>
      <c r="D48" s="93">
        <f t="shared" si="3"/>
        <v>0</v>
      </c>
      <c r="E48" s="79"/>
      <c r="F48" s="95"/>
      <c r="G48" s="92"/>
      <c r="H48" s="95">
        <f t="shared" si="6"/>
        <v>0</v>
      </c>
    </row>
    <row r="49" spans="1:8" ht="19.5" x14ac:dyDescent="0.25">
      <c r="A49" s="91" t="s">
        <v>76</v>
      </c>
      <c r="B49" s="91">
        <v>0</v>
      </c>
      <c r="C49" s="92"/>
      <c r="D49" s="93">
        <f t="shared" si="3"/>
        <v>0</v>
      </c>
      <c r="E49" s="79"/>
      <c r="F49" s="95"/>
      <c r="G49" s="92"/>
      <c r="H49" s="95">
        <f t="shared" si="6"/>
        <v>0</v>
      </c>
    </row>
    <row r="50" spans="1:8" ht="19.5" x14ac:dyDescent="0.25">
      <c r="A50" s="91" t="s">
        <v>77</v>
      </c>
      <c r="B50" s="91">
        <v>0</v>
      </c>
      <c r="C50" s="92"/>
      <c r="D50" s="93">
        <f t="shared" si="3"/>
        <v>0</v>
      </c>
      <c r="E50" s="79"/>
      <c r="F50" s="95"/>
      <c r="G50" s="92"/>
      <c r="H50" s="95">
        <f t="shared" si="6"/>
        <v>0</v>
      </c>
    </row>
    <row r="51" spans="1:8" ht="19.5" x14ac:dyDescent="0.25">
      <c r="A51" s="91" t="s">
        <v>78</v>
      </c>
      <c r="B51" s="91">
        <v>0</v>
      </c>
      <c r="C51" s="92"/>
      <c r="D51" s="93">
        <f t="shared" si="3"/>
        <v>0</v>
      </c>
      <c r="E51" s="79"/>
      <c r="F51" s="95"/>
      <c r="G51" s="92"/>
      <c r="H51" s="95">
        <f t="shared" si="6"/>
        <v>0</v>
      </c>
    </row>
    <row r="52" spans="1:8" ht="19.5" x14ac:dyDescent="0.25">
      <c r="A52" s="91" t="s">
        <v>79</v>
      </c>
      <c r="B52" s="91">
        <v>0</v>
      </c>
      <c r="C52" s="92"/>
      <c r="D52" s="93">
        <f t="shared" si="3"/>
        <v>0</v>
      </c>
      <c r="E52" s="79"/>
      <c r="F52" s="95"/>
      <c r="G52" s="92"/>
      <c r="H52" s="95">
        <f t="shared" si="6"/>
        <v>0</v>
      </c>
    </row>
    <row r="53" spans="1:8" ht="19.5" x14ac:dyDescent="0.25">
      <c r="A53" s="91" t="s">
        <v>80</v>
      </c>
      <c r="B53" s="91">
        <v>0</v>
      </c>
      <c r="C53" s="92"/>
      <c r="D53" s="93">
        <f t="shared" si="3"/>
        <v>0</v>
      </c>
      <c r="E53" s="79"/>
      <c r="F53" s="95"/>
      <c r="G53" s="92"/>
      <c r="H53" s="95">
        <f t="shared" si="6"/>
        <v>0</v>
      </c>
    </row>
    <row r="54" spans="1:8" ht="19.5" x14ac:dyDescent="0.25">
      <c r="A54" s="91" t="s">
        <v>81</v>
      </c>
      <c r="B54" s="91">
        <v>0</v>
      </c>
      <c r="C54" s="92"/>
      <c r="D54" s="93">
        <f t="shared" si="3"/>
        <v>0</v>
      </c>
      <c r="E54" s="79"/>
      <c r="F54" s="95"/>
      <c r="G54" s="92"/>
      <c r="H54" s="95">
        <f t="shared" si="6"/>
        <v>0</v>
      </c>
    </row>
    <row r="55" spans="1:8" ht="19.5" x14ac:dyDescent="0.25">
      <c r="A55" s="91" t="s">
        <v>82</v>
      </c>
      <c r="B55" s="91">
        <v>0</v>
      </c>
      <c r="C55" s="92"/>
      <c r="D55" s="93">
        <f t="shared" si="3"/>
        <v>0</v>
      </c>
      <c r="E55" s="79"/>
      <c r="F55" s="95"/>
      <c r="G55" s="92"/>
      <c r="H55" s="95">
        <f t="shared" si="6"/>
        <v>0</v>
      </c>
    </row>
    <row r="56" spans="1:8" ht="19.5" x14ac:dyDescent="0.25">
      <c r="A56" s="91" t="s">
        <v>83</v>
      </c>
      <c r="B56" s="91">
        <v>0</v>
      </c>
      <c r="C56" s="92"/>
      <c r="D56" s="93">
        <f t="shared" si="3"/>
        <v>0</v>
      </c>
      <c r="E56" s="79"/>
      <c r="F56" s="95"/>
      <c r="G56" s="92"/>
      <c r="H56" s="95">
        <f t="shared" si="6"/>
        <v>0</v>
      </c>
    </row>
    <row r="57" spans="1:8" ht="19.5" x14ac:dyDescent="0.25">
      <c r="A57" s="91" t="s">
        <v>84</v>
      </c>
      <c r="B57" s="91">
        <v>0</v>
      </c>
      <c r="C57" s="92"/>
      <c r="D57" s="93">
        <f t="shared" si="3"/>
        <v>0</v>
      </c>
      <c r="E57" s="79"/>
      <c r="F57" s="95"/>
      <c r="G57" s="92"/>
      <c r="H57" s="95">
        <f t="shared" si="6"/>
        <v>0</v>
      </c>
    </row>
    <row r="58" spans="1:8" ht="19.5" x14ac:dyDescent="0.25">
      <c r="A58" s="91" t="s">
        <v>85</v>
      </c>
      <c r="B58" s="91">
        <v>0</v>
      </c>
      <c r="C58" s="92"/>
      <c r="D58" s="93">
        <f t="shared" si="3"/>
        <v>0</v>
      </c>
      <c r="E58" s="79"/>
      <c r="F58" s="95"/>
      <c r="G58" s="92"/>
      <c r="H58" s="95">
        <f t="shared" si="6"/>
        <v>0</v>
      </c>
    </row>
    <row r="59" spans="1:8" ht="19.5" x14ac:dyDescent="0.25">
      <c r="A59" s="91" t="s">
        <v>86</v>
      </c>
      <c r="B59" s="91">
        <v>0</v>
      </c>
      <c r="C59" s="92"/>
      <c r="D59" s="93">
        <f t="shared" si="3"/>
        <v>0</v>
      </c>
      <c r="E59" s="79"/>
      <c r="F59" s="95"/>
      <c r="G59" s="92"/>
      <c r="H59" s="95">
        <f t="shared" si="6"/>
        <v>0</v>
      </c>
    </row>
    <row r="60" spans="1:8" ht="19.5" x14ac:dyDescent="0.25">
      <c r="A60" s="91" t="s">
        <v>87</v>
      </c>
      <c r="B60" s="91">
        <v>0</v>
      </c>
      <c r="C60" s="92"/>
      <c r="D60" s="93">
        <f t="shared" si="3"/>
        <v>0</v>
      </c>
      <c r="E60" s="79"/>
      <c r="F60" s="95"/>
      <c r="G60" s="92"/>
      <c r="H60" s="95">
        <f t="shared" si="6"/>
        <v>0</v>
      </c>
    </row>
    <row r="61" spans="1:8" ht="19.5" x14ac:dyDescent="0.25">
      <c r="A61" s="91" t="s">
        <v>88</v>
      </c>
      <c r="B61" s="91">
        <v>0</v>
      </c>
      <c r="C61" s="92"/>
      <c r="D61" s="93">
        <f t="shared" si="3"/>
        <v>0</v>
      </c>
      <c r="E61" s="79"/>
      <c r="F61" s="95"/>
      <c r="G61" s="92"/>
      <c r="H61" s="95">
        <f t="shared" si="6"/>
        <v>0</v>
      </c>
    </row>
    <row r="62" spans="1:8" ht="19.5" x14ac:dyDescent="0.25">
      <c r="A62" s="91" t="s">
        <v>89</v>
      </c>
      <c r="B62" s="91">
        <v>0</v>
      </c>
      <c r="C62" s="92"/>
      <c r="D62" s="93">
        <f t="shared" si="3"/>
        <v>0</v>
      </c>
      <c r="E62" s="79"/>
      <c r="F62" s="95"/>
      <c r="G62" s="92"/>
      <c r="H62" s="95">
        <f t="shared" si="6"/>
        <v>0</v>
      </c>
    </row>
    <row r="63" spans="1:8" ht="19.5" x14ac:dyDescent="0.25">
      <c r="A63" s="91" t="s">
        <v>90</v>
      </c>
      <c r="B63" s="91">
        <v>0</v>
      </c>
      <c r="C63" s="92"/>
      <c r="D63" s="93">
        <f t="shared" si="3"/>
        <v>0</v>
      </c>
      <c r="E63" s="79"/>
      <c r="F63" s="95"/>
      <c r="G63" s="92"/>
      <c r="H63" s="95">
        <f t="shared" si="6"/>
        <v>0</v>
      </c>
    </row>
    <row r="64" spans="1:8" ht="19.5" x14ac:dyDescent="0.25">
      <c r="A64" s="91" t="s">
        <v>112</v>
      </c>
      <c r="B64" s="91">
        <v>0</v>
      </c>
      <c r="C64" s="92"/>
      <c r="D64" s="93">
        <f t="shared" si="3"/>
        <v>0</v>
      </c>
      <c r="E64" s="94"/>
      <c r="F64" s="95"/>
      <c r="G64" s="92"/>
      <c r="H64" s="95">
        <f t="shared" si="6"/>
        <v>0</v>
      </c>
    </row>
    <row r="65" spans="1:8" ht="19.5" x14ac:dyDescent="0.25">
      <c r="A65" s="86" t="s">
        <v>99</v>
      </c>
      <c r="B65" s="86"/>
      <c r="C65" s="87"/>
      <c r="D65" s="88">
        <f t="shared" ref="D65:D66" si="7">+B65*C65</f>
        <v>0</v>
      </c>
      <c r="E65" s="89"/>
      <c r="F65" s="90"/>
      <c r="G65" s="87"/>
      <c r="H65" s="90">
        <f t="shared" ref="H65:H66" si="8">+F65*G65</f>
        <v>0</v>
      </c>
    </row>
    <row r="66" spans="1:8" ht="19.5" x14ac:dyDescent="0.25">
      <c r="A66" s="86" t="s">
        <v>100</v>
      </c>
      <c r="B66" s="86"/>
      <c r="C66" s="87"/>
      <c r="D66" s="88">
        <f t="shared" si="7"/>
        <v>0</v>
      </c>
      <c r="E66" s="89"/>
      <c r="F66" s="90"/>
      <c r="G66" s="87"/>
      <c r="H66" s="90">
        <f t="shared" si="8"/>
        <v>0</v>
      </c>
    </row>
  </sheetData>
  <mergeCells count="3">
    <mergeCell ref="A3:H3"/>
    <mergeCell ref="B4:D4"/>
    <mergeCell ref="F4:H4"/>
  </mergeCells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8572-FD46-4FEF-8B16-7CF3678CDE93}">
  <sheetPr>
    <tabColor rgb="FF00B050"/>
  </sheetPr>
  <dimension ref="A2"/>
  <sheetViews>
    <sheetView zoomScale="115" zoomScaleNormal="115" workbookViewId="0">
      <selection activeCell="M7" sqref="M7"/>
    </sheetView>
  </sheetViews>
  <sheetFormatPr baseColWidth="10" defaultRowHeight="15" x14ac:dyDescent="0.25"/>
  <sheetData>
    <row r="2" customForma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DEBC-D253-4A20-B83C-9A46DB328CD6}">
  <sheetPr>
    <tabColor rgb="FFFF0000"/>
  </sheetPr>
  <dimension ref="A2:A25"/>
  <sheetViews>
    <sheetView zoomScaleNormal="100" workbookViewId="0">
      <selection activeCell="Q5" sqref="P5:Q5"/>
    </sheetView>
  </sheetViews>
  <sheetFormatPr baseColWidth="10" defaultRowHeight="15" x14ac:dyDescent="0.25"/>
  <cols>
    <col min="4" max="4" width="19.85546875" customWidth="1"/>
  </cols>
  <sheetData>
    <row r="2" ht="46.5" customHeight="1" x14ac:dyDescent="0.25"/>
    <row r="25" spans="1:1" x14ac:dyDescent="0.25">
      <c r="A25" s="8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83124838-C18A-495B-9F18-201F13B071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EAU-01</vt:lpstr>
      <vt:lpstr>EAU-02</vt:lpstr>
      <vt:lpstr>KWH-01</vt:lpstr>
      <vt:lpstr>KWH-02</vt:lpstr>
      <vt:lpstr>RECAP</vt:lpstr>
      <vt:lpstr>courbe-EAU</vt:lpstr>
      <vt:lpstr>courbe-Electricité</vt:lpstr>
      <vt:lpstr>'EAU-01'!Zone_d_impression</vt:lpstr>
      <vt:lpstr>'EAU-02'!Zone_d_impression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Faouzi BENFADHEL</dc:creator>
  <cp:lastModifiedBy>tech batiment</cp:lastModifiedBy>
  <cp:lastPrinted>2026-02-02T06:52:05Z</cp:lastPrinted>
  <dcterms:created xsi:type="dcterms:W3CDTF">2026-01-02T08:15:34Z</dcterms:created>
  <dcterms:modified xsi:type="dcterms:W3CDTF">2026-02-12T07:13:12Z</dcterms:modified>
</cp:coreProperties>
</file>